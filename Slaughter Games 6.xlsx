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eine Ablage\Dropbox_Migration\Vienn_Magicrunde\Slaughter Games\"/>
    </mc:Choice>
  </mc:AlternateContent>
  <xr:revisionPtr revIDLastSave="0" documentId="13_ncr:1_{9CC2D5BB-7752-4B99-8FBB-345F38CAF64D}" xr6:coauthVersionLast="36" xr6:coauthVersionMax="36" xr10:uidLastSave="{00000000-0000-0000-0000-000000000000}"/>
  <bookViews>
    <workbookView xWindow="0" yWindow="0" windowWidth="21570" windowHeight="7890" xr2:uid="{00BF036B-377D-4EF0-93EE-5596CE0412C7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5" i="1" l="1"/>
  <c r="S4" i="1"/>
  <c r="R21" i="1"/>
  <c r="U21" i="1" s="1"/>
  <c r="AA21" i="1" s="1"/>
  <c r="T4" i="1"/>
  <c r="R4" i="1"/>
  <c r="T20" i="1"/>
  <c r="T21" i="1"/>
  <c r="S21" i="1"/>
  <c r="S20" i="1"/>
  <c r="R20" i="1"/>
  <c r="U20" i="1" s="1"/>
  <c r="AA20" i="1" s="1"/>
  <c r="U4" i="1" l="1"/>
  <c r="AE26" i="1"/>
  <c r="O19" i="1" l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T5" i="1" l="1"/>
  <c r="S5" i="1"/>
  <c r="T8" i="1"/>
  <c r="S8" i="1"/>
  <c r="R8" i="1"/>
  <c r="U8" i="1" s="1"/>
  <c r="AA5" i="1" s="1"/>
  <c r="R9" i="1"/>
  <c r="T9" i="1"/>
  <c r="S9" i="1"/>
  <c r="S11" i="1"/>
  <c r="T11" i="1"/>
  <c r="R11" i="1"/>
  <c r="U11" i="1" s="1"/>
  <c r="AA14" i="1" s="1"/>
  <c r="S13" i="1"/>
  <c r="R13" i="1"/>
  <c r="U13" i="1" s="1"/>
  <c r="AA6" i="1" s="1"/>
  <c r="T13" i="1"/>
  <c r="S18" i="1"/>
  <c r="T18" i="1"/>
  <c r="R18" i="1"/>
  <c r="T6" i="1"/>
  <c r="S6" i="1"/>
  <c r="R6" i="1"/>
  <c r="U6" i="1" s="1"/>
  <c r="AA9" i="1" s="1"/>
  <c r="T7" i="1"/>
  <c r="R7" i="1"/>
  <c r="S7" i="1"/>
  <c r="S10" i="1"/>
  <c r="R10" i="1"/>
  <c r="T10" i="1"/>
  <c r="R12" i="1"/>
  <c r="T12" i="1"/>
  <c r="S12" i="1"/>
  <c r="T14" i="1"/>
  <c r="R14" i="1"/>
  <c r="S14" i="1"/>
  <c r="T15" i="1"/>
  <c r="S15" i="1"/>
  <c r="R15" i="1"/>
  <c r="U15" i="1" s="1"/>
  <c r="R16" i="1"/>
  <c r="T16" i="1"/>
  <c r="S16" i="1"/>
  <c r="T17" i="1"/>
  <c r="R17" i="1"/>
  <c r="S17" i="1"/>
  <c r="R19" i="1"/>
  <c r="T19" i="1"/>
  <c r="S19" i="1"/>
  <c r="AA15" i="1"/>
  <c r="U5" i="1" l="1"/>
  <c r="AA7" i="1" s="1"/>
  <c r="U17" i="1"/>
  <c r="AA17" i="1" s="1"/>
  <c r="AA4" i="1"/>
  <c r="U19" i="1"/>
  <c r="AA19" i="1" s="1"/>
  <c r="U7" i="1"/>
  <c r="AA8" i="1" s="1"/>
  <c r="U18" i="1"/>
  <c r="AA18" i="1" s="1"/>
  <c r="U12" i="1"/>
  <c r="AA11" i="1" s="1"/>
  <c r="U10" i="1"/>
  <c r="AA10" i="1" s="1"/>
  <c r="U16" i="1"/>
  <c r="AA16" i="1" s="1"/>
  <c r="U9" i="1"/>
  <c r="AA12" i="1" s="1"/>
  <c r="U14" i="1"/>
  <c r="AA13" i="1" s="1"/>
</calcChain>
</file>

<file path=xl/sharedStrings.xml><?xml version="1.0" encoding="utf-8"?>
<sst xmlns="http://schemas.openxmlformats.org/spreadsheetml/2006/main" count="467" uniqueCount="89">
  <si>
    <t>Slaughter Games 3</t>
  </si>
  <si>
    <t>Vinc, Comrade of Hell and Beyond</t>
  </si>
  <si>
    <t>Ivo, the Whining One</t>
  </si>
  <si>
    <t>Papa of Runes</t>
  </si>
  <si>
    <t>Felix, the Great Conceder</t>
  </si>
  <si>
    <t>Burni, the Voracious Weeder</t>
  </si>
  <si>
    <t>Ulamugi, the Great Highländer Dumper</t>
  </si>
  <si>
    <t>Leogoyf</t>
  </si>
  <si>
    <t>Heber, the Pipe Smoking Beardo</t>
  </si>
  <si>
    <t>Fridi, Master of (A)Ether Waves</t>
  </si>
  <si>
    <t>Niki-Jiki, Mirror Faker</t>
  </si>
  <si>
    <t>Raul Passion</t>
  </si>
  <si>
    <t>Bat Rig, Tomb-Eel-Leech</t>
  </si>
  <si>
    <t>Substitute Simon</t>
  </si>
  <si>
    <t>Osti, Formerly from another Kingdom</t>
  </si>
  <si>
    <t>Slaughter Games 1</t>
  </si>
  <si>
    <t>Slaughter Games 2</t>
  </si>
  <si>
    <t>Ranking</t>
  </si>
  <si>
    <t>All Time Ranking</t>
  </si>
  <si>
    <t>Punkte</t>
  </si>
  <si>
    <t>Gesamtpunkte</t>
  </si>
  <si>
    <t>Ostibot, from another Kingdom</t>
  </si>
  <si>
    <t>Sash a Cubic Check</t>
  </si>
  <si>
    <t>Day Wheat, Ride-Farmer</t>
  </si>
  <si>
    <t>Ulamugi, the Great Dumper</t>
  </si>
  <si>
    <t>M</t>
  </si>
  <si>
    <t>R</t>
  </si>
  <si>
    <t>U</t>
  </si>
  <si>
    <t>Summe</t>
  </si>
  <si>
    <t>CC</t>
  </si>
  <si>
    <t>Tshirt Sizes</t>
  </si>
  <si>
    <t>XXL</t>
  </si>
  <si>
    <t>XL</t>
  </si>
  <si>
    <t>L</t>
  </si>
  <si>
    <t>Top of the Hill</t>
  </si>
  <si>
    <t>Teilnahmen</t>
  </si>
  <si>
    <t>Mutsch, The Unknown Entity</t>
  </si>
  <si>
    <t>Delta</t>
  </si>
  <si>
    <t>Äxte</t>
  </si>
  <si>
    <t>MM</t>
  </si>
  <si>
    <t>MR</t>
  </si>
  <si>
    <t>UC</t>
  </si>
  <si>
    <t>Shirt-Size</t>
  </si>
  <si>
    <t>Bouncer</t>
  </si>
  <si>
    <t>-</t>
  </si>
  <si>
    <t>Saint Slow Paul III</t>
  </si>
  <si>
    <t>Rang</t>
  </si>
  <si>
    <t>Mutscho Gusto</t>
  </si>
  <si>
    <t>Thiny Skinny Vince, the Escalating One</t>
  </si>
  <si>
    <t>David, Ride-Power IX</t>
  </si>
  <si>
    <t>X</t>
  </si>
  <si>
    <t>Y</t>
  </si>
  <si>
    <t>Z</t>
  </si>
  <si>
    <t>Formel</t>
  </si>
  <si>
    <t>(((X+Y)/2)*Z)^0.5</t>
  </si>
  <si>
    <t xml:space="preserve">Mittel </t>
  </si>
  <si>
    <t>Schnitt</t>
  </si>
  <si>
    <t>Ethernal Ranking</t>
  </si>
  <si>
    <t>MMC</t>
  </si>
  <si>
    <t>UCR</t>
  </si>
  <si>
    <t>MRM</t>
  </si>
  <si>
    <t>UU</t>
  </si>
  <si>
    <t>Slaughter Games 4</t>
  </si>
  <si>
    <t>Ethernal SG Ranking</t>
  </si>
  <si>
    <t>E-Points</t>
  </si>
  <si>
    <t>Teameinteilung</t>
  </si>
  <si>
    <t>x</t>
  </si>
  <si>
    <t>Location</t>
  </si>
  <si>
    <t>Spielplan</t>
  </si>
  <si>
    <t>Essen</t>
  </si>
  <si>
    <t xml:space="preserve"> Alkohol, Gummibärchen &amp; Sideevents</t>
  </si>
  <si>
    <t>Verantwortlichkeiten</t>
  </si>
  <si>
    <t>Wahl der Location (in kurzabstimmung mit allesen</t>
  </si>
  <si>
    <t>Johann, Aprentice Sorcerer</t>
  </si>
  <si>
    <t>Fabi, the Evil-er Twin</t>
  </si>
  <si>
    <t>Aetherwuzl Marvelking</t>
  </si>
  <si>
    <t>M Shirts</t>
  </si>
  <si>
    <t>L Shirts</t>
  </si>
  <si>
    <t>Waiting room</t>
  </si>
  <si>
    <t>XL Shirts</t>
  </si>
  <si>
    <t>XXL Shirts</t>
  </si>
  <si>
    <t>Slaugtergames 6</t>
  </si>
  <si>
    <t xml:space="preserve">  </t>
  </si>
  <si>
    <t>MRMR</t>
  </si>
  <si>
    <t>UUU</t>
  </si>
  <si>
    <t>MMCC</t>
  </si>
  <si>
    <t>CCM</t>
  </si>
  <si>
    <t>Evil Twin</t>
  </si>
  <si>
    <t>im warenkorb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</si>
</sst>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0.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Bahnschrift Light"/>
      <family val="2"/>
    </font>
    <font>
      <b/>
      <sz val="12"/>
      <color theme="1"/>
      <name val="Bahnschrift Light"/>
      <family val="2"/>
    </font>
    <font>
      <b/>
      <sz val="11"/>
      <color theme="1"/>
      <name val="Bahnschrift Light"/>
      <family val="2"/>
    </font>
    <font>
      <sz val="11"/>
      <color rgb="FF006100"/>
      <name val="Bahnschrift Light"/>
      <family val="2"/>
    </font>
    <font>
      <sz val="11"/>
      <color rgb="FF9C0006"/>
      <name val="Bahnschrift Light"/>
      <family val="2"/>
    </font>
  </fonts>
  <fills count="12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1" fillId="2" borderId="0" applyNumberFormat="0" applyBorder="0" applyAlignment="0" applyProtection="0"/>
    <xf numFmtId="0" fontId="3" fillId="5" borderId="0" applyNumberFormat="0" applyBorder="0" applyAlignment="0" applyProtection="0"/>
    <xf numFmtId="0" fontId="5" fillId="6" borderId="0" applyNumberFormat="0" applyBorder="0" applyAlignment="0" applyProtection="0"/>
    <xf numFmtId="0" fontId="1" fillId="7" borderId="0" applyNumberFormat="0" applyBorder="0" applyAlignment="0" applyProtection="0"/>
  </cellStyleXfs>
  <cellXfs count="42">
    <xf numFmtId="0" fontId="0" fillId="0" borderId="0" xfId="0"/>
    <xf numFmtId="0" fontId="2" fillId="0" borderId="0" xfId="0" applyFont="1"/>
    <xf numFmtId="164" fontId="0" fillId="0" borderId="0" xfId="1" applyNumberFormat="1" applyFont="1"/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165" fontId="4" fillId="5" borderId="0" xfId="3" applyNumberFormat="1" applyFont="1"/>
    <xf numFmtId="165" fontId="0" fillId="0" borderId="0" xfId="0" applyNumberFormat="1"/>
    <xf numFmtId="0" fontId="2" fillId="0" borderId="1" xfId="0" applyFont="1" applyBorder="1"/>
    <xf numFmtId="0" fontId="0" fillId="2" borderId="0" xfId="2" applyFont="1" applyAlignment="1">
      <alignment horizontal="center"/>
    </xf>
    <xf numFmtId="164" fontId="0" fillId="0" borderId="0" xfId="0" applyNumberFormat="1"/>
    <xf numFmtId="0" fontId="0" fillId="0" borderId="0" xfId="0" applyAlignment="1">
      <alignment horizontal="center"/>
    </xf>
    <xf numFmtId="2" fontId="4" fillId="5" borderId="0" xfId="3" applyNumberFormat="1" applyFont="1"/>
    <xf numFmtId="2" fontId="0" fillId="0" borderId="0" xfId="0" applyNumberForma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8" fillId="0" borderId="0" xfId="0" applyFont="1" applyAlignment="1">
      <alignment horizontal="center"/>
    </xf>
    <xf numFmtId="165" fontId="6" fillId="0" borderId="0" xfId="0" applyNumberFormat="1" applyFont="1"/>
    <xf numFmtId="165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9" fillId="5" borderId="0" xfId="3" applyFont="1" applyAlignment="1">
      <alignment horizontal="center"/>
    </xf>
    <xf numFmtId="0" fontId="10" fillId="6" borderId="0" xfId="4" applyFont="1" applyAlignment="1">
      <alignment horizontal="center"/>
    </xf>
    <xf numFmtId="0" fontId="6" fillId="7" borderId="0" xfId="5" applyFont="1" applyAlignment="1">
      <alignment horizontal="center"/>
    </xf>
    <xf numFmtId="1" fontId="6" fillId="0" borderId="0" xfId="0" applyNumberFormat="1" applyFont="1"/>
    <xf numFmtId="1" fontId="6" fillId="0" borderId="0" xfId="0" applyNumberFormat="1" applyFont="1" applyAlignment="1">
      <alignment horizontal="center"/>
    </xf>
    <xf numFmtId="0" fontId="0" fillId="8" borderId="2" xfId="0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0" fillId="10" borderId="2" xfId="0" applyFill="1" applyBorder="1" applyAlignment="1">
      <alignment horizontal="center" vertical="center"/>
    </xf>
    <xf numFmtId="0" fontId="0" fillId="11" borderId="2" xfId="0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11" borderId="2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 wrapText="1"/>
    </xf>
    <xf numFmtId="0" fontId="0" fillId="9" borderId="2" xfId="0" applyFill="1" applyBorder="1" applyAlignment="1">
      <alignment horizontal="center" vertical="center" wrapText="1"/>
    </xf>
    <xf numFmtId="0" fontId="0" fillId="10" borderId="2" xfId="0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6">
    <cellStyle name="20 % - Akzent3" xfId="5" builtinId="38"/>
    <cellStyle name="60 % - Akzent1" xfId="2" builtinId="32"/>
    <cellStyle name="Gut" xfId="3" builtinId="26"/>
    <cellStyle name="Komma" xfId="1" builtinId="3"/>
    <cellStyle name="Schlecht" xfId="4" builtinId="27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91819-A1EC-43D2-9B71-D17E88E2A879}">
  <dimension ref="A1:AF96"/>
  <sheetViews>
    <sheetView tabSelected="1" topLeftCell="H47" zoomScaleNormal="100" workbookViewId="0">
      <selection activeCell="M50" sqref="M50"/>
    </sheetView>
  </sheetViews>
  <sheetFormatPr baseColWidth="10" defaultRowHeight="15" x14ac:dyDescent="0.25"/>
  <cols>
    <col min="1" max="1" width="3" bestFit="1" customWidth="1"/>
    <col min="2" max="2" width="35.85546875" bestFit="1" customWidth="1"/>
    <col min="3" max="3" width="7.85546875" customWidth="1"/>
    <col min="4" max="4" width="35.85546875" bestFit="1" customWidth="1"/>
    <col min="5" max="5" width="7.28515625" bestFit="1" customWidth="1"/>
    <col min="6" max="6" width="35.85546875" bestFit="1" customWidth="1"/>
    <col min="7" max="7" width="7.28515625" bestFit="1" customWidth="1"/>
    <col min="8" max="8" width="35" customWidth="1"/>
    <col min="9" max="9" width="14.42578125" customWidth="1"/>
    <col min="10" max="10" width="13.85546875" customWidth="1"/>
    <col min="12" max="12" width="22.28515625" customWidth="1"/>
    <col min="13" max="13" width="10.7109375" bestFit="1" customWidth="1"/>
    <col min="14" max="14" width="9" customWidth="1"/>
    <col min="15" max="16" width="8.7109375" customWidth="1"/>
    <col min="17" max="17" width="38.7109375" bestFit="1" customWidth="1"/>
    <col min="18" max="18" width="8.5703125" customWidth="1"/>
    <col min="19" max="19" width="13.5703125" bestFit="1" customWidth="1"/>
    <col min="20" max="20" width="8.7109375" bestFit="1" customWidth="1"/>
    <col min="21" max="21" width="15.85546875" bestFit="1" customWidth="1"/>
    <col min="22" max="22" width="10" customWidth="1"/>
    <col min="23" max="23" width="16.5703125" customWidth="1"/>
    <col min="24" max="25" width="11.85546875" customWidth="1"/>
    <col min="26" max="26" width="35.85546875" bestFit="1" customWidth="1"/>
    <col min="31" max="31" width="35.85546875" bestFit="1" customWidth="1"/>
  </cols>
  <sheetData>
    <row r="1" spans="1:32" x14ac:dyDescent="0.25">
      <c r="B1" t="s">
        <v>17</v>
      </c>
      <c r="R1" s="41" t="s">
        <v>20</v>
      </c>
      <c r="S1" s="41"/>
      <c r="T1" s="41"/>
    </row>
    <row r="2" spans="1:32" x14ac:dyDescent="0.25">
      <c r="B2" s="3">
        <v>2021</v>
      </c>
      <c r="C2" s="3" t="s">
        <v>19</v>
      </c>
      <c r="D2" s="3">
        <v>2022</v>
      </c>
      <c r="E2" s="3" t="s">
        <v>19</v>
      </c>
      <c r="F2" s="3">
        <v>2023</v>
      </c>
      <c r="G2" s="3" t="s">
        <v>19</v>
      </c>
      <c r="H2" s="11">
        <v>2024</v>
      </c>
      <c r="I2" s="11" t="s">
        <v>19</v>
      </c>
      <c r="R2" s="11" t="s">
        <v>50</v>
      </c>
      <c r="S2" s="11" t="s">
        <v>51</v>
      </c>
      <c r="T2" s="11" t="s">
        <v>52</v>
      </c>
      <c r="U2" s="11" t="s">
        <v>54</v>
      </c>
      <c r="Z2" s="1" t="s">
        <v>18</v>
      </c>
      <c r="AE2" s="10"/>
      <c r="AF2" s="7"/>
    </row>
    <row r="3" spans="1:32" x14ac:dyDescent="0.25">
      <c r="B3" s="1" t="s">
        <v>15</v>
      </c>
      <c r="C3" s="1"/>
      <c r="D3" s="1" t="s">
        <v>16</v>
      </c>
      <c r="F3" s="1" t="s">
        <v>0</v>
      </c>
      <c r="H3" s="1" t="s">
        <v>62</v>
      </c>
      <c r="M3">
        <v>2021</v>
      </c>
      <c r="N3">
        <v>2022</v>
      </c>
      <c r="O3">
        <v>2023</v>
      </c>
      <c r="P3">
        <v>2024</v>
      </c>
      <c r="Q3" t="s">
        <v>35</v>
      </c>
      <c r="R3" s="9" t="s">
        <v>55</v>
      </c>
      <c r="S3" s="4" t="s">
        <v>56</v>
      </c>
      <c r="T3" s="5" t="s">
        <v>28</v>
      </c>
      <c r="U3" s="11" t="s">
        <v>53</v>
      </c>
      <c r="AE3" s="1" t="s">
        <v>57</v>
      </c>
      <c r="AF3" s="7"/>
    </row>
    <row r="4" spans="1:32" x14ac:dyDescent="0.25">
      <c r="A4">
        <v>1</v>
      </c>
      <c r="B4" t="s">
        <v>1</v>
      </c>
      <c r="C4" s="2">
        <v>8</v>
      </c>
      <c r="D4" t="s">
        <v>5</v>
      </c>
      <c r="E4" s="2">
        <v>12</v>
      </c>
      <c r="F4" t="s">
        <v>5</v>
      </c>
      <c r="G4">
        <v>16</v>
      </c>
      <c r="H4" t="s">
        <v>48</v>
      </c>
      <c r="I4">
        <v>16</v>
      </c>
      <c r="J4">
        <v>1</v>
      </c>
      <c r="L4" t="s">
        <v>5</v>
      </c>
      <c r="M4">
        <v>4</v>
      </c>
      <c r="N4">
        <v>12</v>
      </c>
      <c r="O4">
        <f>G4</f>
        <v>16</v>
      </c>
      <c r="P4">
        <v>13</v>
      </c>
      <c r="Q4">
        <v>4</v>
      </c>
      <c r="R4" s="7">
        <f>AVERAGE(M4:P4)</f>
        <v>11.25</v>
      </c>
      <c r="S4" s="7">
        <f>(M4+N4+O4+P4)/Q4</f>
        <v>11.25</v>
      </c>
      <c r="T4" s="7">
        <f>SUM(M4:P4)</f>
        <v>45</v>
      </c>
      <c r="U4" s="12">
        <f t="shared" ref="U4:U21" si="0">(((R4+S4)/2)*T4)^(0.5)</f>
        <v>22.5</v>
      </c>
      <c r="X4" s="7"/>
      <c r="Z4" t="s">
        <v>5</v>
      </c>
      <c r="AA4" s="6">
        <f>U4</f>
        <v>22.5</v>
      </c>
      <c r="AB4" t="s">
        <v>25</v>
      </c>
      <c r="AC4" s="13"/>
      <c r="AE4" t="s">
        <v>48</v>
      </c>
      <c r="AF4" s="7">
        <v>23.5</v>
      </c>
    </row>
    <row r="5" spans="1:32" x14ac:dyDescent="0.25">
      <c r="A5">
        <v>2</v>
      </c>
      <c r="B5" t="s">
        <v>2</v>
      </c>
      <c r="C5" s="2">
        <v>7</v>
      </c>
      <c r="D5" t="s">
        <v>8</v>
      </c>
      <c r="E5" s="2">
        <v>11</v>
      </c>
      <c r="F5" t="s">
        <v>1</v>
      </c>
      <c r="G5">
        <v>15</v>
      </c>
      <c r="H5" t="s">
        <v>3</v>
      </c>
      <c r="I5">
        <v>15</v>
      </c>
      <c r="J5">
        <v>2</v>
      </c>
      <c r="L5" t="s">
        <v>8</v>
      </c>
      <c r="M5">
        <v>0</v>
      </c>
      <c r="N5">
        <v>11</v>
      </c>
      <c r="O5">
        <f>G8</f>
        <v>12</v>
      </c>
      <c r="P5">
        <v>10</v>
      </c>
      <c r="Q5">
        <v>3</v>
      </c>
      <c r="R5" s="7">
        <f>AVERAGE(M5:P5)</f>
        <v>8.25</v>
      </c>
      <c r="S5" s="7">
        <f t="shared" ref="S5:S20" si="1">(M5+N5+O5+P5)/Q5</f>
        <v>11</v>
      </c>
      <c r="T5" s="7">
        <f t="shared" ref="T5:T21" si="2">SUM(M5:P5)</f>
        <v>33</v>
      </c>
      <c r="U5" s="12">
        <f t="shared" si="0"/>
        <v>17.822036920621617</v>
      </c>
      <c r="X5" s="7"/>
      <c r="Z5" t="s">
        <v>48</v>
      </c>
      <c r="AA5" s="6">
        <f>U8</f>
        <v>23.5</v>
      </c>
      <c r="AB5" t="s">
        <v>25</v>
      </c>
      <c r="AC5" s="13"/>
      <c r="AE5" t="s">
        <v>5</v>
      </c>
      <c r="AF5" s="7">
        <v>22.5</v>
      </c>
    </row>
    <row r="6" spans="1:32" x14ac:dyDescent="0.25">
      <c r="A6">
        <v>3</v>
      </c>
      <c r="B6" t="s">
        <v>3</v>
      </c>
      <c r="C6" s="2">
        <v>6</v>
      </c>
      <c r="D6" t="s">
        <v>13</v>
      </c>
      <c r="E6" s="2">
        <v>10</v>
      </c>
      <c r="F6" t="s">
        <v>23</v>
      </c>
      <c r="G6">
        <v>14</v>
      </c>
      <c r="H6" t="s">
        <v>49</v>
      </c>
      <c r="I6">
        <v>14</v>
      </c>
      <c r="J6">
        <v>3</v>
      </c>
      <c r="L6" t="s">
        <v>13</v>
      </c>
      <c r="M6">
        <v>0</v>
      </c>
      <c r="N6">
        <v>10</v>
      </c>
      <c r="O6">
        <f>G9</f>
        <v>11</v>
      </c>
      <c r="P6">
        <v>0</v>
      </c>
      <c r="Q6">
        <v>2</v>
      </c>
      <c r="R6" s="7">
        <f t="shared" ref="R6:R20" si="3">AVERAGE(M6:P6)</f>
        <v>5.25</v>
      </c>
      <c r="S6" s="7">
        <f t="shared" si="1"/>
        <v>10.5</v>
      </c>
      <c r="T6" s="7">
        <f t="shared" si="2"/>
        <v>21</v>
      </c>
      <c r="U6" s="12">
        <f t="shared" si="0"/>
        <v>12.859821149611685</v>
      </c>
      <c r="X6" s="7"/>
      <c r="Z6" t="s">
        <v>4</v>
      </c>
      <c r="AA6" s="6">
        <f>U13</f>
        <v>14</v>
      </c>
      <c r="AB6" t="s">
        <v>29</v>
      </c>
      <c r="AC6" s="13"/>
      <c r="AE6" t="s">
        <v>3</v>
      </c>
      <c r="AF6" s="7">
        <v>18.362098645488938</v>
      </c>
    </row>
    <row r="7" spans="1:32" x14ac:dyDescent="0.25">
      <c r="A7">
        <v>4</v>
      </c>
      <c r="B7" t="s">
        <v>4</v>
      </c>
      <c r="C7" s="2">
        <v>5</v>
      </c>
      <c r="D7" t="s">
        <v>4</v>
      </c>
      <c r="E7" s="2">
        <v>9</v>
      </c>
      <c r="F7" t="s">
        <v>3</v>
      </c>
      <c r="G7">
        <v>13</v>
      </c>
      <c r="H7" t="s">
        <v>5</v>
      </c>
      <c r="I7">
        <v>13</v>
      </c>
      <c r="J7">
        <v>4</v>
      </c>
      <c r="L7" t="s">
        <v>2</v>
      </c>
      <c r="M7">
        <v>7</v>
      </c>
      <c r="N7">
        <v>6</v>
      </c>
      <c r="O7">
        <f>G15</f>
        <v>5</v>
      </c>
      <c r="P7">
        <v>2</v>
      </c>
      <c r="Q7">
        <v>4</v>
      </c>
      <c r="R7" s="7">
        <f t="shared" si="3"/>
        <v>5</v>
      </c>
      <c r="S7" s="7">
        <f t="shared" si="1"/>
        <v>5</v>
      </c>
      <c r="T7" s="7">
        <f t="shared" si="2"/>
        <v>20</v>
      </c>
      <c r="U7" s="12">
        <f t="shared" si="0"/>
        <v>10</v>
      </c>
      <c r="X7" s="7"/>
      <c r="Z7" t="s">
        <v>8</v>
      </c>
      <c r="AA7" s="6">
        <f>U5</f>
        <v>17.822036920621617</v>
      </c>
      <c r="AB7" t="s">
        <v>26</v>
      </c>
      <c r="AC7" s="13"/>
      <c r="AE7" t="s">
        <v>8</v>
      </c>
      <c r="AF7" s="7">
        <v>17.822036920621617</v>
      </c>
    </row>
    <row r="8" spans="1:32" x14ac:dyDescent="0.25">
      <c r="A8">
        <v>5</v>
      </c>
      <c r="B8" t="s">
        <v>5</v>
      </c>
      <c r="C8" s="2">
        <v>4</v>
      </c>
      <c r="D8" t="s">
        <v>1</v>
      </c>
      <c r="E8" s="2">
        <v>8</v>
      </c>
      <c r="F8" t="s">
        <v>8</v>
      </c>
      <c r="G8">
        <v>12</v>
      </c>
      <c r="H8" t="s">
        <v>9</v>
      </c>
      <c r="I8">
        <v>12</v>
      </c>
      <c r="J8">
        <v>5</v>
      </c>
      <c r="L8" t="s">
        <v>48</v>
      </c>
      <c r="M8">
        <v>8</v>
      </c>
      <c r="N8">
        <v>8</v>
      </c>
      <c r="O8">
        <f>G5</f>
        <v>15</v>
      </c>
      <c r="P8">
        <v>16</v>
      </c>
      <c r="Q8">
        <v>4</v>
      </c>
      <c r="R8" s="7">
        <f t="shared" si="3"/>
        <v>11.75</v>
      </c>
      <c r="S8" s="7">
        <f t="shared" si="1"/>
        <v>11.75</v>
      </c>
      <c r="T8" s="7">
        <f t="shared" si="2"/>
        <v>47</v>
      </c>
      <c r="U8" s="12">
        <f t="shared" si="0"/>
        <v>23.5</v>
      </c>
      <c r="X8" s="7"/>
      <c r="Z8" t="s">
        <v>2</v>
      </c>
      <c r="AA8" s="6">
        <f>U7</f>
        <v>10</v>
      </c>
      <c r="AB8" t="s">
        <v>26</v>
      </c>
      <c r="AC8" s="13"/>
      <c r="AE8" t="s">
        <v>49</v>
      </c>
      <c r="AF8" s="7">
        <v>17.146428199482248</v>
      </c>
    </row>
    <row r="9" spans="1:32" x14ac:dyDescent="0.25">
      <c r="A9">
        <v>6</v>
      </c>
      <c r="B9" t="s">
        <v>6</v>
      </c>
      <c r="C9" s="2">
        <v>3</v>
      </c>
      <c r="D9" t="s">
        <v>11</v>
      </c>
      <c r="E9" s="2">
        <v>7</v>
      </c>
      <c r="F9" t="s">
        <v>13</v>
      </c>
      <c r="G9">
        <v>11</v>
      </c>
      <c r="H9" t="s">
        <v>21</v>
      </c>
      <c r="I9">
        <v>11</v>
      </c>
      <c r="J9">
        <v>6</v>
      </c>
      <c r="L9" t="s">
        <v>3</v>
      </c>
      <c r="M9">
        <v>6</v>
      </c>
      <c r="N9">
        <v>0</v>
      </c>
      <c r="O9">
        <f>G7</f>
        <v>13</v>
      </c>
      <c r="P9">
        <v>15</v>
      </c>
      <c r="Q9">
        <v>3</v>
      </c>
      <c r="R9" s="7">
        <f t="shared" si="3"/>
        <v>8.5</v>
      </c>
      <c r="S9" s="7">
        <f t="shared" si="1"/>
        <v>11.333333333333334</v>
      </c>
      <c r="T9" s="7">
        <f t="shared" si="2"/>
        <v>34</v>
      </c>
      <c r="U9" s="12">
        <f t="shared" si="0"/>
        <v>18.362098645488938</v>
      </c>
      <c r="X9" s="7"/>
      <c r="Z9" t="s">
        <v>13</v>
      </c>
      <c r="AA9" s="6">
        <f>U6</f>
        <v>12.859821149611685</v>
      </c>
      <c r="AB9" t="s">
        <v>27</v>
      </c>
      <c r="AC9" s="13"/>
      <c r="AE9" t="s">
        <v>4</v>
      </c>
      <c r="AF9" s="7">
        <v>14</v>
      </c>
    </row>
    <row r="10" spans="1:32" x14ac:dyDescent="0.25">
      <c r="A10">
        <v>7</v>
      </c>
      <c r="B10" t="s">
        <v>14</v>
      </c>
      <c r="C10" s="2">
        <v>2</v>
      </c>
      <c r="D10" t="s">
        <v>2</v>
      </c>
      <c r="E10" s="2">
        <v>6</v>
      </c>
      <c r="F10" t="s">
        <v>11</v>
      </c>
      <c r="G10">
        <v>10</v>
      </c>
      <c r="H10" t="s">
        <v>8</v>
      </c>
      <c r="I10">
        <v>10</v>
      </c>
      <c r="J10">
        <v>7</v>
      </c>
      <c r="L10" t="s">
        <v>11</v>
      </c>
      <c r="M10">
        <v>0</v>
      </c>
      <c r="N10">
        <v>7</v>
      </c>
      <c r="O10">
        <f>G10</f>
        <v>10</v>
      </c>
      <c r="P10">
        <v>8</v>
      </c>
      <c r="Q10">
        <v>3</v>
      </c>
      <c r="R10" s="7">
        <f t="shared" si="3"/>
        <v>6.25</v>
      </c>
      <c r="S10" s="7">
        <f t="shared" si="1"/>
        <v>8.3333333333333339</v>
      </c>
      <c r="T10" s="7">
        <f t="shared" si="2"/>
        <v>25</v>
      </c>
      <c r="U10" s="12">
        <f t="shared" si="0"/>
        <v>13.501543121683042</v>
      </c>
      <c r="X10" s="7"/>
      <c r="Z10" t="s">
        <v>11</v>
      </c>
      <c r="AA10" s="6">
        <f>U10</f>
        <v>13.501543121683042</v>
      </c>
      <c r="AC10" s="13"/>
      <c r="AE10" t="s">
        <v>11</v>
      </c>
      <c r="AF10" s="7">
        <v>13.501543121683042</v>
      </c>
    </row>
    <row r="11" spans="1:32" x14ac:dyDescent="0.25">
      <c r="A11">
        <v>8</v>
      </c>
      <c r="B11" t="s">
        <v>7</v>
      </c>
      <c r="C11" s="2">
        <v>1</v>
      </c>
      <c r="D11" t="s">
        <v>6</v>
      </c>
      <c r="E11" s="2">
        <v>5</v>
      </c>
      <c r="F11" t="s">
        <v>10</v>
      </c>
      <c r="G11">
        <v>9</v>
      </c>
      <c r="H11" t="s">
        <v>43</v>
      </c>
      <c r="I11">
        <v>9</v>
      </c>
      <c r="J11">
        <v>8</v>
      </c>
      <c r="L11" t="s">
        <v>10</v>
      </c>
      <c r="M11">
        <v>0</v>
      </c>
      <c r="N11">
        <v>3</v>
      </c>
      <c r="O11">
        <f>G11</f>
        <v>9</v>
      </c>
      <c r="P11">
        <v>6</v>
      </c>
      <c r="Q11">
        <v>3</v>
      </c>
      <c r="R11" s="7">
        <f t="shared" si="3"/>
        <v>4.5</v>
      </c>
      <c r="S11" s="7">
        <f t="shared" si="1"/>
        <v>6</v>
      </c>
      <c r="T11" s="7">
        <f t="shared" si="2"/>
        <v>18</v>
      </c>
      <c r="U11" s="12">
        <f t="shared" si="0"/>
        <v>9.7211110476117906</v>
      </c>
      <c r="X11" s="7"/>
      <c r="Z11" t="s">
        <v>6</v>
      </c>
      <c r="AA11" s="6">
        <f>U12</f>
        <v>7.5</v>
      </c>
      <c r="AC11" s="13"/>
      <c r="AE11" t="s">
        <v>13</v>
      </c>
      <c r="AF11" s="7">
        <v>12.859821149611685</v>
      </c>
    </row>
    <row r="12" spans="1:32" x14ac:dyDescent="0.25">
      <c r="A12">
        <v>9</v>
      </c>
      <c r="D12" t="s">
        <v>14</v>
      </c>
      <c r="E12" s="2">
        <v>4</v>
      </c>
      <c r="F12" t="s">
        <v>9</v>
      </c>
      <c r="G12">
        <v>8</v>
      </c>
      <c r="H12" t="s">
        <v>11</v>
      </c>
      <c r="I12">
        <v>8</v>
      </c>
      <c r="J12">
        <v>9</v>
      </c>
      <c r="L12" t="s">
        <v>24</v>
      </c>
      <c r="M12">
        <v>3</v>
      </c>
      <c r="N12">
        <v>5</v>
      </c>
      <c r="O12">
        <f>G17</f>
        <v>3</v>
      </c>
      <c r="P12">
        <v>4</v>
      </c>
      <c r="Q12">
        <v>4</v>
      </c>
      <c r="R12" s="7">
        <f t="shared" si="3"/>
        <v>3.75</v>
      </c>
      <c r="S12" s="7">
        <f t="shared" si="1"/>
        <v>3.75</v>
      </c>
      <c r="T12" s="7">
        <f t="shared" si="2"/>
        <v>15</v>
      </c>
      <c r="U12" s="12">
        <f t="shared" si="0"/>
        <v>7.5</v>
      </c>
      <c r="X12" s="7"/>
      <c r="Z12" t="s">
        <v>3</v>
      </c>
      <c r="AA12" s="6">
        <f>U9</f>
        <v>18.362098645488938</v>
      </c>
      <c r="AB12" t="s">
        <v>27</v>
      </c>
      <c r="AC12" s="13"/>
      <c r="AE12" t="s">
        <v>9</v>
      </c>
      <c r="AF12" s="7">
        <v>11.881357947081076</v>
      </c>
    </row>
    <row r="13" spans="1:32" x14ac:dyDescent="0.25">
      <c r="A13">
        <v>10</v>
      </c>
      <c r="D13" t="s">
        <v>10</v>
      </c>
      <c r="E13" s="2">
        <v>3</v>
      </c>
      <c r="F13" t="s">
        <v>4</v>
      </c>
      <c r="G13">
        <v>7</v>
      </c>
      <c r="H13" t="s">
        <v>4</v>
      </c>
      <c r="I13">
        <v>7</v>
      </c>
      <c r="J13">
        <v>10</v>
      </c>
      <c r="L13" t="s">
        <v>4</v>
      </c>
      <c r="M13">
        <v>5</v>
      </c>
      <c r="N13">
        <v>9</v>
      </c>
      <c r="O13">
        <f>G13</f>
        <v>7</v>
      </c>
      <c r="P13">
        <v>7</v>
      </c>
      <c r="Q13">
        <v>4</v>
      </c>
      <c r="R13" s="7">
        <f t="shared" si="3"/>
        <v>7</v>
      </c>
      <c r="S13" s="7">
        <f t="shared" si="1"/>
        <v>7</v>
      </c>
      <c r="T13" s="7">
        <f t="shared" si="2"/>
        <v>28</v>
      </c>
      <c r="U13" s="12">
        <f t="shared" si="0"/>
        <v>14</v>
      </c>
      <c r="X13" s="7"/>
      <c r="Z13" t="s">
        <v>21</v>
      </c>
      <c r="AA13" s="6">
        <f>U14</f>
        <v>11.5</v>
      </c>
      <c r="AC13" s="13"/>
      <c r="AE13" t="s">
        <v>21</v>
      </c>
      <c r="AF13" s="7">
        <v>11.5</v>
      </c>
    </row>
    <row r="14" spans="1:32" x14ac:dyDescent="0.25">
      <c r="A14">
        <v>11</v>
      </c>
      <c r="D14" t="s">
        <v>9</v>
      </c>
      <c r="E14" s="2">
        <v>2</v>
      </c>
      <c r="F14" t="s">
        <v>21</v>
      </c>
      <c r="G14">
        <v>6</v>
      </c>
      <c r="H14" t="s">
        <v>10</v>
      </c>
      <c r="I14">
        <v>6</v>
      </c>
      <c r="J14">
        <v>11</v>
      </c>
      <c r="L14" t="s">
        <v>21</v>
      </c>
      <c r="M14">
        <v>2</v>
      </c>
      <c r="N14">
        <v>4</v>
      </c>
      <c r="O14">
        <f>G14</f>
        <v>6</v>
      </c>
      <c r="P14">
        <v>11</v>
      </c>
      <c r="Q14">
        <v>4</v>
      </c>
      <c r="R14" s="7">
        <f t="shared" si="3"/>
        <v>5.75</v>
      </c>
      <c r="S14" s="7">
        <f t="shared" si="1"/>
        <v>5.75</v>
      </c>
      <c r="T14" s="7">
        <f t="shared" si="2"/>
        <v>23</v>
      </c>
      <c r="U14" s="12">
        <f t="shared" si="0"/>
        <v>11.5</v>
      </c>
      <c r="X14" s="7"/>
      <c r="Z14" t="s">
        <v>10</v>
      </c>
      <c r="AA14" s="6">
        <f>U11</f>
        <v>9.7211110476117906</v>
      </c>
      <c r="AC14" s="13"/>
      <c r="AE14" t="s">
        <v>2</v>
      </c>
      <c r="AF14" s="7">
        <v>10</v>
      </c>
    </row>
    <row r="15" spans="1:32" x14ac:dyDescent="0.25">
      <c r="A15">
        <v>12</v>
      </c>
      <c r="D15" t="s">
        <v>7</v>
      </c>
      <c r="E15" s="2">
        <v>1</v>
      </c>
      <c r="F15" t="s">
        <v>2</v>
      </c>
      <c r="G15">
        <v>5</v>
      </c>
      <c r="H15" t="s">
        <v>47</v>
      </c>
      <c r="I15">
        <v>5</v>
      </c>
      <c r="J15">
        <v>12</v>
      </c>
      <c r="L15" t="s">
        <v>9</v>
      </c>
      <c r="M15">
        <v>0</v>
      </c>
      <c r="N15">
        <v>2</v>
      </c>
      <c r="O15">
        <f>G12</f>
        <v>8</v>
      </c>
      <c r="P15">
        <v>12</v>
      </c>
      <c r="Q15">
        <v>3</v>
      </c>
      <c r="R15" s="7">
        <f t="shared" si="3"/>
        <v>5.5</v>
      </c>
      <c r="S15" s="7">
        <f t="shared" si="1"/>
        <v>7.333333333333333</v>
      </c>
      <c r="T15" s="7">
        <f t="shared" si="2"/>
        <v>22</v>
      </c>
      <c r="U15" s="12">
        <f t="shared" si="0"/>
        <v>11.881357947081076</v>
      </c>
      <c r="X15" s="7"/>
      <c r="Z15" t="s">
        <v>9</v>
      </c>
      <c r="AA15" s="6">
        <f t="shared" ref="AA15:AA21" si="4">U15</f>
        <v>11.881357947081076</v>
      </c>
      <c r="AC15" s="13"/>
      <c r="AE15" t="s">
        <v>10</v>
      </c>
      <c r="AF15" s="7">
        <v>9.7211110476117906</v>
      </c>
    </row>
    <row r="16" spans="1:32" x14ac:dyDescent="0.25">
      <c r="A16">
        <v>13</v>
      </c>
      <c r="F16" t="s">
        <v>36</v>
      </c>
      <c r="G16">
        <v>4</v>
      </c>
      <c r="H16" t="s">
        <v>6</v>
      </c>
      <c r="I16">
        <v>4</v>
      </c>
      <c r="J16">
        <v>13</v>
      </c>
      <c r="L16" t="s">
        <v>7</v>
      </c>
      <c r="M16">
        <v>1</v>
      </c>
      <c r="N16">
        <v>1</v>
      </c>
      <c r="O16">
        <f>G19</f>
        <v>1</v>
      </c>
      <c r="P16">
        <v>0</v>
      </c>
      <c r="Q16">
        <v>3</v>
      </c>
      <c r="R16" s="7">
        <f t="shared" si="3"/>
        <v>0.75</v>
      </c>
      <c r="S16" s="7">
        <f t="shared" si="1"/>
        <v>1</v>
      </c>
      <c r="T16" s="7">
        <f t="shared" si="2"/>
        <v>3</v>
      </c>
      <c r="U16" s="12">
        <f t="shared" si="0"/>
        <v>1.6201851746019651</v>
      </c>
      <c r="X16" s="7"/>
      <c r="Z16" t="s">
        <v>7</v>
      </c>
      <c r="AA16" s="6">
        <f t="shared" si="4"/>
        <v>1.6201851746019651</v>
      </c>
      <c r="AC16" s="13"/>
      <c r="AE16" t="s">
        <v>24</v>
      </c>
      <c r="AF16" s="7">
        <v>7.5</v>
      </c>
    </row>
    <row r="17" spans="1:32" x14ac:dyDescent="0.25">
      <c r="A17">
        <v>14</v>
      </c>
      <c r="F17" t="s">
        <v>24</v>
      </c>
      <c r="G17">
        <v>3</v>
      </c>
      <c r="H17" t="s">
        <v>45</v>
      </c>
      <c r="I17">
        <v>3</v>
      </c>
      <c r="J17">
        <v>14</v>
      </c>
      <c r="L17" t="s">
        <v>47</v>
      </c>
      <c r="M17">
        <v>0</v>
      </c>
      <c r="N17">
        <v>0</v>
      </c>
      <c r="O17">
        <f>G16</f>
        <v>4</v>
      </c>
      <c r="P17">
        <v>5</v>
      </c>
      <c r="Q17">
        <v>2</v>
      </c>
      <c r="R17" s="7">
        <f t="shared" si="3"/>
        <v>2.25</v>
      </c>
      <c r="S17" s="7">
        <f t="shared" si="1"/>
        <v>4.5</v>
      </c>
      <c r="T17" s="7">
        <f t="shared" si="2"/>
        <v>9</v>
      </c>
      <c r="U17" s="12">
        <f t="shared" si="0"/>
        <v>5.5113519212621505</v>
      </c>
      <c r="X17" s="7"/>
      <c r="Z17" t="s">
        <v>47</v>
      </c>
      <c r="AA17" s="6">
        <f t="shared" si="4"/>
        <v>5.5113519212621505</v>
      </c>
      <c r="AC17" s="13"/>
      <c r="AE17" t="s">
        <v>43</v>
      </c>
      <c r="AF17" s="7">
        <v>7.1151247353788536</v>
      </c>
    </row>
    <row r="18" spans="1:32" x14ac:dyDescent="0.25">
      <c r="A18">
        <v>15</v>
      </c>
      <c r="F18" t="s">
        <v>22</v>
      </c>
      <c r="G18">
        <v>2</v>
      </c>
      <c r="H18" t="s">
        <v>2</v>
      </c>
      <c r="I18">
        <v>2</v>
      </c>
      <c r="J18">
        <v>15</v>
      </c>
      <c r="L18" t="s">
        <v>49</v>
      </c>
      <c r="M18">
        <v>0</v>
      </c>
      <c r="N18">
        <v>0</v>
      </c>
      <c r="O18">
        <f>G6</f>
        <v>14</v>
      </c>
      <c r="P18">
        <v>14</v>
      </c>
      <c r="Q18">
        <v>2</v>
      </c>
      <c r="R18" s="7">
        <f t="shared" si="3"/>
        <v>7</v>
      </c>
      <c r="S18" s="7">
        <f t="shared" si="1"/>
        <v>14</v>
      </c>
      <c r="T18" s="7">
        <f t="shared" si="2"/>
        <v>28</v>
      </c>
      <c r="U18" s="12">
        <f t="shared" si="0"/>
        <v>17.146428199482248</v>
      </c>
      <c r="X18" s="7"/>
      <c r="Z18" t="s">
        <v>49</v>
      </c>
      <c r="AA18" s="6">
        <f t="shared" si="4"/>
        <v>17.146428199482248</v>
      </c>
      <c r="AC18" s="13"/>
      <c r="AE18" t="s">
        <v>47</v>
      </c>
      <c r="AF18" s="7">
        <v>5.5113519212621505</v>
      </c>
    </row>
    <row r="19" spans="1:32" x14ac:dyDescent="0.25">
      <c r="A19">
        <v>16</v>
      </c>
      <c r="F19" t="s">
        <v>7</v>
      </c>
      <c r="G19">
        <v>1</v>
      </c>
      <c r="H19" t="s">
        <v>22</v>
      </c>
      <c r="I19">
        <v>1</v>
      </c>
      <c r="J19">
        <v>16</v>
      </c>
      <c r="L19" t="s">
        <v>22</v>
      </c>
      <c r="M19">
        <v>0</v>
      </c>
      <c r="N19">
        <v>0</v>
      </c>
      <c r="O19">
        <f>G18</f>
        <v>2</v>
      </c>
      <c r="P19">
        <v>1</v>
      </c>
      <c r="Q19">
        <v>2</v>
      </c>
      <c r="R19" s="7">
        <f t="shared" si="3"/>
        <v>0.75</v>
      </c>
      <c r="S19" s="7">
        <f t="shared" si="1"/>
        <v>1.5</v>
      </c>
      <c r="T19" s="7">
        <f t="shared" si="2"/>
        <v>3</v>
      </c>
      <c r="U19" s="12">
        <f t="shared" si="0"/>
        <v>1.8371173070873836</v>
      </c>
      <c r="X19" s="7"/>
      <c r="Z19" t="s">
        <v>22</v>
      </c>
      <c r="AA19" s="6">
        <f t="shared" si="4"/>
        <v>1.8371173070873836</v>
      </c>
      <c r="AC19" s="13"/>
      <c r="AE19" t="s">
        <v>45</v>
      </c>
      <c r="AF19" s="7">
        <v>2.3717082451262845</v>
      </c>
    </row>
    <row r="20" spans="1:32" x14ac:dyDescent="0.25">
      <c r="A20">
        <v>17</v>
      </c>
      <c r="J20">
        <v>17</v>
      </c>
      <c r="L20" t="s">
        <v>43</v>
      </c>
      <c r="M20">
        <v>0</v>
      </c>
      <c r="N20">
        <v>0</v>
      </c>
      <c r="O20">
        <v>0</v>
      </c>
      <c r="P20">
        <v>9</v>
      </c>
      <c r="Q20">
        <v>1</v>
      </c>
      <c r="R20" s="7">
        <f t="shared" si="3"/>
        <v>2.25</v>
      </c>
      <c r="S20" s="7">
        <f t="shared" si="1"/>
        <v>9</v>
      </c>
      <c r="T20" s="7">
        <f t="shared" si="2"/>
        <v>9</v>
      </c>
      <c r="U20" s="12">
        <f t="shared" si="0"/>
        <v>7.1151247353788536</v>
      </c>
      <c r="X20" s="7"/>
      <c r="Z20" t="s">
        <v>43</v>
      </c>
      <c r="AA20" s="6">
        <f t="shared" si="4"/>
        <v>7.1151247353788536</v>
      </c>
      <c r="AC20" s="13"/>
      <c r="AE20" t="s">
        <v>22</v>
      </c>
      <c r="AF20" s="7">
        <v>1.8371173070873836</v>
      </c>
    </row>
    <row r="21" spans="1:32" x14ac:dyDescent="0.25">
      <c r="A21">
        <v>18</v>
      </c>
      <c r="J21">
        <v>18</v>
      </c>
      <c r="L21" t="s">
        <v>45</v>
      </c>
      <c r="M21">
        <v>0</v>
      </c>
      <c r="N21">
        <v>0</v>
      </c>
      <c r="O21">
        <v>0</v>
      </c>
      <c r="P21">
        <v>3</v>
      </c>
      <c r="Q21">
        <v>1</v>
      </c>
      <c r="R21" s="7">
        <f>AVERAGE(M21:P21)</f>
        <v>0.75</v>
      </c>
      <c r="S21" s="7">
        <f>(M21+N21+O21+P21)/Q21</f>
        <v>3</v>
      </c>
      <c r="T21" s="7">
        <f t="shared" si="2"/>
        <v>3</v>
      </c>
      <c r="U21" s="12">
        <f t="shared" si="0"/>
        <v>2.3717082451262845</v>
      </c>
      <c r="X21" s="7"/>
      <c r="Z21" t="s">
        <v>45</v>
      </c>
      <c r="AA21" s="6">
        <f t="shared" si="4"/>
        <v>2.3717082451262845</v>
      </c>
      <c r="AC21" s="13"/>
      <c r="AE21" t="s">
        <v>7</v>
      </c>
      <c r="AF21" s="7">
        <v>1.6201851746019651</v>
      </c>
    </row>
    <row r="22" spans="1:32" x14ac:dyDescent="0.25">
      <c r="Z22" s="8" t="s">
        <v>30</v>
      </c>
      <c r="AB22" t="s">
        <v>38</v>
      </c>
      <c r="AD22" t="s">
        <v>31</v>
      </c>
      <c r="AE22">
        <v>2</v>
      </c>
    </row>
    <row r="23" spans="1:32" x14ac:dyDescent="0.25">
      <c r="Y23">
        <v>1</v>
      </c>
      <c r="Z23" t="s">
        <v>5</v>
      </c>
      <c r="AA23" t="s">
        <v>32</v>
      </c>
      <c r="AB23" t="s">
        <v>39</v>
      </c>
      <c r="AD23" t="s">
        <v>32</v>
      </c>
      <c r="AE23">
        <v>6</v>
      </c>
    </row>
    <row r="24" spans="1:32" x14ac:dyDescent="0.25">
      <c r="Y24">
        <v>2</v>
      </c>
      <c r="Z24" t="s">
        <v>48</v>
      </c>
      <c r="AA24" t="s">
        <v>32</v>
      </c>
      <c r="AB24" t="s">
        <v>40</v>
      </c>
      <c r="AD24" t="s">
        <v>33</v>
      </c>
      <c r="AE24">
        <v>6</v>
      </c>
    </row>
    <row r="25" spans="1:32" x14ac:dyDescent="0.25">
      <c r="Y25">
        <v>3</v>
      </c>
      <c r="Z25" t="s">
        <v>8</v>
      </c>
      <c r="AA25" t="s">
        <v>25</v>
      </c>
      <c r="AB25" t="s">
        <v>26</v>
      </c>
      <c r="AD25" t="s">
        <v>25</v>
      </c>
      <c r="AE25">
        <v>2</v>
      </c>
    </row>
    <row r="26" spans="1:32" x14ac:dyDescent="0.25">
      <c r="K26" s="14"/>
      <c r="M26" s="14"/>
      <c r="N26" s="40">
        <v>2024</v>
      </c>
      <c r="O26" s="40"/>
      <c r="P26" s="40">
        <v>2023</v>
      </c>
      <c r="Q26" s="40"/>
      <c r="R26" s="40">
        <v>2022</v>
      </c>
      <c r="S26" s="40"/>
      <c r="T26" s="40">
        <v>2021</v>
      </c>
      <c r="U26" s="40"/>
      <c r="V26" s="14"/>
      <c r="W26" s="14"/>
      <c r="X26" s="14"/>
      <c r="Y26">
        <v>4</v>
      </c>
      <c r="Z26" t="s">
        <v>3</v>
      </c>
      <c r="AA26" t="s">
        <v>32</v>
      </c>
      <c r="AB26" t="s">
        <v>41</v>
      </c>
      <c r="AE26">
        <f>SUM(AE22:AE25)</f>
        <v>16</v>
      </c>
    </row>
    <row r="27" spans="1:32" ht="15.75" x14ac:dyDescent="0.25">
      <c r="K27" s="14"/>
      <c r="L27" s="15" t="s">
        <v>63</v>
      </c>
      <c r="M27" s="16" t="s">
        <v>64</v>
      </c>
      <c r="N27" s="17" t="s">
        <v>19</v>
      </c>
      <c r="O27" s="17" t="s">
        <v>46</v>
      </c>
      <c r="P27" s="17" t="s">
        <v>19</v>
      </c>
      <c r="Q27" s="17" t="s">
        <v>46</v>
      </c>
      <c r="R27" s="17" t="s">
        <v>19</v>
      </c>
      <c r="S27" s="17" t="s">
        <v>46</v>
      </c>
      <c r="T27" s="17" t="s">
        <v>19</v>
      </c>
      <c r="U27" s="17" t="s">
        <v>46</v>
      </c>
      <c r="V27" s="17" t="s">
        <v>37</v>
      </c>
      <c r="W27" s="17" t="s">
        <v>38</v>
      </c>
      <c r="X27" s="17" t="s">
        <v>42</v>
      </c>
      <c r="Y27">
        <v>5</v>
      </c>
      <c r="Z27" t="s">
        <v>4</v>
      </c>
      <c r="AA27" t="s">
        <v>33</v>
      </c>
      <c r="AB27" t="s">
        <v>29</v>
      </c>
    </row>
    <row r="28" spans="1:32" x14ac:dyDescent="0.25">
      <c r="H28" t="s">
        <v>5</v>
      </c>
      <c r="I28">
        <v>1</v>
      </c>
      <c r="K28" s="14">
        <v>1</v>
      </c>
      <c r="L28" s="14" t="s">
        <v>48</v>
      </c>
      <c r="M28" s="18">
        <v>23.5</v>
      </c>
      <c r="N28" s="24">
        <v>16</v>
      </c>
      <c r="O28" s="14">
        <v>1</v>
      </c>
      <c r="P28" s="25">
        <v>15</v>
      </c>
      <c r="Q28" s="20">
        <v>2</v>
      </c>
      <c r="R28" s="25">
        <v>8</v>
      </c>
      <c r="S28" s="20">
        <v>5</v>
      </c>
      <c r="T28" s="25">
        <v>8</v>
      </c>
      <c r="U28" s="20">
        <v>1</v>
      </c>
      <c r="V28" s="21">
        <v>1</v>
      </c>
      <c r="W28" s="20" t="s">
        <v>60</v>
      </c>
      <c r="X28" s="20" t="s">
        <v>32</v>
      </c>
      <c r="Y28">
        <v>6</v>
      </c>
      <c r="Z28" t="s">
        <v>49</v>
      </c>
      <c r="AA28" t="s">
        <v>32</v>
      </c>
      <c r="AB28" t="s">
        <v>27</v>
      </c>
    </row>
    <row r="29" spans="1:32" x14ac:dyDescent="0.25">
      <c r="H29" t="s">
        <v>48</v>
      </c>
      <c r="I29">
        <v>2</v>
      </c>
      <c r="K29" s="14">
        <v>2</v>
      </c>
      <c r="L29" s="14" t="s">
        <v>5</v>
      </c>
      <c r="M29" s="18">
        <v>22.5</v>
      </c>
      <c r="N29" s="24">
        <v>13</v>
      </c>
      <c r="O29" s="14">
        <v>4</v>
      </c>
      <c r="P29" s="25">
        <v>16</v>
      </c>
      <c r="Q29" s="20">
        <v>1</v>
      </c>
      <c r="R29" s="25">
        <v>12</v>
      </c>
      <c r="S29" s="20">
        <v>1</v>
      </c>
      <c r="T29" s="25">
        <v>4</v>
      </c>
      <c r="U29" s="20">
        <v>5</v>
      </c>
      <c r="V29" s="22">
        <v>-1</v>
      </c>
      <c r="W29" s="20" t="s">
        <v>58</v>
      </c>
      <c r="X29" s="20" t="s">
        <v>32</v>
      </c>
      <c r="Y29">
        <v>7</v>
      </c>
      <c r="Z29" t="s">
        <v>11</v>
      </c>
      <c r="AA29" t="s">
        <v>33</v>
      </c>
    </row>
    <row r="30" spans="1:32" x14ac:dyDescent="0.25">
      <c r="H30" t="s">
        <v>8</v>
      </c>
      <c r="I30">
        <v>3</v>
      </c>
      <c r="K30" s="14">
        <v>3</v>
      </c>
      <c r="L30" s="14" t="s">
        <v>3</v>
      </c>
      <c r="M30" s="18">
        <v>18.362098645488938</v>
      </c>
      <c r="N30" s="24">
        <v>15</v>
      </c>
      <c r="O30" s="14">
        <v>2</v>
      </c>
      <c r="P30" s="25">
        <v>13</v>
      </c>
      <c r="Q30" s="20">
        <v>4</v>
      </c>
      <c r="R30" s="25" t="s">
        <v>44</v>
      </c>
      <c r="S30" s="19" t="s">
        <v>44</v>
      </c>
      <c r="T30" s="25">
        <v>6</v>
      </c>
      <c r="U30" s="20">
        <v>3</v>
      </c>
      <c r="V30" s="21">
        <v>2</v>
      </c>
      <c r="W30" s="20" t="s">
        <v>59</v>
      </c>
      <c r="X30" s="20" t="s">
        <v>32</v>
      </c>
      <c r="Y30">
        <v>8</v>
      </c>
      <c r="Z30" t="s">
        <v>2</v>
      </c>
      <c r="AA30" t="s">
        <v>32</v>
      </c>
      <c r="AB30" t="s">
        <v>26</v>
      </c>
    </row>
    <row r="31" spans="1:32" x14ac:dyDescent="0.25">
      <c r="H31" t="s">
        <v>13</v>
      </c>
      <c r="I31">
        <v>4</v>
      </c>
      <c r="K31" s="14">
        <v>4</v>
      </c>
      <c r="L31" s="14" t="s">
        <v>8</v>
      </c>
      <c r="M31" s="18">
        <v>17.822036920621617</v>
      </c>
      <c r="N31" s="24">
        <v>10</v>
      </c>
      <c r="O31" s="14">
        <v>7</v>
      </c>
      <c r="P31" s="25">
        <v>12</v>
      </c>
      <c r="Q31" s="20">
        <v>5</v>
      </c>
      <c r="R31" s="25">
        <v>11</v>
      </c>
      <c r="S31" s="20">
        <v>2</v>
      </c>
      <c r="T31" s="25" t="s">
        <v>44</v>
      </c>
      <c r="U31" s="19" t="s">
        <v>44</v>
      </c>
      <c r="V31" s="22">
        <v>-1</v>
      </c>
      <c r="W31" s="20" t="s">
        <v>26</v>
      </c>
      <c r="X31" s="20" t="s">
        <v>25</v>
      </c>
      <c r="Y31">
        <v>9</v>
      </c>
      <c r="Z31" t="s">
        <v>10</v>
      </c>
      <c r="AA31" t="s">
        <v>33</v>
      </c>
    </row>
    <row r="32" spans="1:32" x14ac:dyDescent="0.25">
      <c r="H32" t="s">
        <v>3</v>
      </c>
      <c r="I32">
        <v>5</v>
      </c>
      <c r="K32" s="14">
        <v>5</v>
      </c>
      <c r="L32" s="14" t="s">
        <v>49</v>
      </c>
      <c r="M32" s="18">
        <v>17.146428199482248</v>
      </c>
      <c r="N32" s="24">
        <v>14</v>
      </c>
      <c r="O32" s="14">
        <v>3</v>
      </c>
      <c r="P32" s="25">
        <v>14</v>
      </c>
      <c r="Q32" s="20">
        <v>3</v>
      </c>
      <c r="R32" s="25" t="s">
        <v>44</v>
      </c>
      <c r="S32" s="19" t="s">
        <v>44</v>
      </c>
      <c r="T32" s="25" t="s">
        <v>44</v>
      </c>
      <c r="U32" s="19" t="s">
        <v>44</v>
      </c>
      <c r="V32" s="21">
        <v>2</v>
      </c>
      <c r="W32" s="20" t="s">
        <v>61</v>
      </c>
      <c r="X32" s="20" t="s">
        <v>32</v>
      </c>
      <c r="Y32">
        <v>10</v>
      </c>
      <c r="Z32" t="s">
        <v>21</v>
      </c>
      <c r="AA32" t="s">
        <v>25</v>
      </c>
    </row>
    <row r="33" spans="8:28" x14ac:dyDescent="0.25">
      <c r="H33" t="s">
        <v>4</v>
      </c>
      <c r="I33">
        <v>6</v>
      </c>
      <c r="K33" s="14">
        <v>6</v>
      </c>
      <c r="L33" s="14" t="s">
        <v>4</v>
      </c>
      <c r="M33" s="18">
        <v>14</v>
      </c>
      <c r="N33" s="24">
        <v>7</v>
      </c>
      <c r="O33" s="14">
        <v>10</v>
      </c>
      <c r="P33" s="25">
        <v>7</v>
      </c>
      <c r="Q33" s="20">
        <v>10</v>
      </c>
      <c r="R33" s="25">
        <v>9</v>
      </c>
      <c r="S33" s="20">
        <v>4</v>
      </c>
      <c r="T33" s="25">
        <v>5</v>
      </c>
      <c r="U33" s="20">
        <v>4</v>
      </c>
      <c r="V33" s="23">
        <v>0</v>
      </c>
      <c r="W33" s="20" t="s">
        <v>29</v>
      </c>
      <c r="X33" s="20" t="s">
        <v>33</v>
      </c>
      <c r="Y33">
        <v>11</v>
      </c>
      <c r="Z33" t="s">
        <v>6</v>
      </c>
      <c r="AA33" t="s">
        <v>33</v>
      </c>
    </row>
    <row r="34" spans="8:28" x14ac:dyDescent="0.25">
      <c r="H34" t="s">
        <v>49</v>
      </c>
      <c r="I34">
        <v>7</v>
      </c>
      <c r="K34" s="14">
        <v>7</v>
      </c>
      <c r="L34" s="14" t="s">
        <v>11</v>
      </c>
      <c r="M34" s="18">
        <v>13.501543121683042</v>
      </c>
      <c r="N34" s="24">
        <v>8</v>
      </c>
      <c r="O34" s="14">
        <v>9</v>
      </c>
      <c r="P34" s="25">
        <v>10</v>
      </c>
      <c r="Q34" s="20">
        <v>7</v>
      </c>
      <c r="R34" s="25">
        <v>7</v>
      </c>
      <c r="S34" s="20">
        <v>6</v>
      </c>
      <c r="T34" s="25" t="s">
        <v>44</v>
      </c>
      <c r="U34" s="19" t="s">
        <v>44</v>
      </c>
      <c r="V34" s="21">
        <v>1</v>
      </c>
      <c r="W34" s="19" t="s">
        <v>44</v>
      </c>
      <c r="X34" s="20" t="s">
        <v>33</v>
      </c>
      <c r="Y34">
        <v>12</v>
      </c>
      <c r="Z34" t="s">
        <v>9</v>
      </c>
      <c r="AA34" t="s">
        <v>33</v>
      </c>
    </row>
    <row r="35" spans="8:28" x14ac:dyDescent="0.25">
      <c r="H35" t="s">
        <v>11</v>
      </c>
      <c r="I35">
        <v>8</v>
      </c>
      <c r="K35" s="14">
        <v>8</v>
      </c>
      <c r="L35" s="14" t="s">
        <v>13</v>
      </c>
      <c r="M35" s="18">
        <v>12.859821149611685</v>
      </c>
      <c r="N35" s="25" t="s">
        <v>44</v>
      </c>
      <c r="O35" s="19" t="s">
        <v>44</v>
      </c>
      <c r="P35" s="25">
        <v>11</v>
      </c>
      <c r="Q35" s="20">
        <v>6</v>
      </c>
      <c r="R35" s="25">
        <v>10</v>
      </c>
      <c r="S35" s="20">
        <v>3</v>
      </c>
      <c r="T35" s="25" t="s">
        <v>44</v>
      </c>
      <c r="U35" s="19" t="s">
        <v>44</v>
      </c>
      <c r="V35" s="22">
        <v>-4</v>
      </c>
      <c r="W35" s="20" t="s">
        <v>27</v>
      </c>
      <c r="X35" s="20" t="s">
        <v>25</v>
      </c>
      <c r="Y35">
        <v>13</v>
      </c>
      <c r="Z35" t="s">
        <v>47</v>
      </c>
      <c r="AA35" t="s">
        <v>33</v>
      </c>
    </row>
    <row r="36" spans="8:28" x14ac:dyDescent="0.25">
      <c r="H36" t="s">
        <v>2</v>
      </c>
      <c r="I36">
        <v>9</v>
      </c>
      <c r="K36" s="14">
        <v>9</v>
      </c>
      <c r="L36" s="14" t="s">
        <v>9</v>
      </c>
      <c r="M36" s="18">
        <v>11.881357947081076</v>
      </c>
      <c r="N36" s="24">
        <v>12</v>
      </c>
      <c r="O36" s="14">
        <v>5</v>
      </c>
      <c r="P36" s="25">
        <v>8</v>
      </c>
      <c r="Q36" s="20">
        <v>9</v>
      </c>
      <c r="R36" s="25">
        <v>2</v>
      </c>
      <c r="S36" s="20">
        <v>11</v>
      </c>
      <c r="T36" s="25" t="s">
        <v>44</v>
      </c>
      <c r="U36" s="19" t="s">
        <v>44</v>
      </c>
      <c r="V36" s="21">
        <v>4</v>
      </c>
      <c r="W36" s="19" t="s">
        <v>44</v>
      </c>
      <c r="X36" s="20" t="s">
        <v>33</v>
      </c>
      <c r="Y36">
        <v>14</v>
      </c>
      <c r="Z36" t="s">
        <v>22</v>
      </c>
      <c r="AA36" t="s">
        <v>31</v>
      </c>
    </row>
    <row r="37" spans="8:28" x14ac:dyDescent="0.25">
      <c r="H37" t="s">
        <v>10</v>
      </c>
      <c r="I37">
        <v>10</v>
      </c>
      <c r="K37" s="14">
        <v>10</v>
      </c>
      <c r="L37" s="14" t="s">
        <v>21</v>
      </c>
      <c r="M37" s="18">
        <v>11.5</v>
      </c>
      <c r="N37" s="24">
        <v>11</v>
      </c>
      <c r="O37" s="14">
        <v>6</v>
      </c>
      <c r="P37" s="25">
        <v>6</v>
      </c>
      <c r="Q37" s="20">
        <v>11</v>
      </c>
      <c r="R37" s="25">
        <v>4</v>
      </c>
      <c r="S37" s="20">
        <v>9</v>
      </c>
      <c r="T37" s="25">
        <v>2</v>
      </c>
      <c r="U37" s="20">
        <v>7</v>
      </c>
      <c r="V37" s="21">
        <v>1</v>
      </c>
      <c r="W37" s="19" t="s">
        <v>44</v>
      </c>
      <c r="X37" s="20" t="s">
        <v>25</v>
      </c>
      <c r="Y37">
        <v>15</v>
      </c>
      <c r="Z37" t="s">
        <v>45</v>
      </c>
      <c r="AA37" t="s">
        <v>31</v>
      </c>
    </row>
    <row r="38" spans="8:28" x14ac:dyDescent="0.25">
      <c r="H38" t="s">
        <v>21</v>
      </c>
      <c r="I38">
        <v>11</v>
      </c>
      <c r="K38" s="14">
        <v>11</v>
      </c>
      <c r="L38" s="14" t="s">
        <v>2</v>
      </c>
      <c r="M38" s="18">
        <v>10</v>
      </c>
      <c r="N38" s="24">
        <v>2</v>
      </c>
      <c r="O38" s="14">
        <v>15</v>
      </c>
      <c r="P38" s="25">
        <v>5</v>
      </c>
      <c r="Q38" s="20">
        <v>12</v>
      </c>
      <c r="R38" s="25">
        <v>6</v>
      </c>
      <c r="S38" s="20">
        <v>7</v>
      </c>
      <c r="T38" s="25">
        <v>7</v>
      </c>
      <c r="U38" s="20">
        <v>2</v>
      </c>
      <c r="V38" s="22">
        <v>-2</v>
      </c>
      <c r="W38" s="20" t="s">
        <v>26</v>
      </c>
      <c r="X38" s="20" t="s">
        <v>32</v>
      </c>
      <c r="Y38">
        <v>16</v>
      </c>
      <c r="Z38" t="s">
        <v>43</v>
      </c>
      <c r="AA38" t="s">
        <v>32</v>
      </c>
    </row>
    <row r="39" spans="8:28" x14ac:dyDescent="0.25">
      <c r="H39" t="s">
        <v>6</v>
      </c>
      <c r="I39">
        <v>12</v>
      </c>
      <c r="K39" s="14">
        <v>12</v>
      </c>
      <c r="L39" s="14" t="s">
        <v>10</v>
      </c>
      <c r="M39" s="18">
        <v>9.7211110476117906</v>
      </c>
      <c r="N39" s="24">
        <v>6</v>
      </c>
      <c r="O39" s="14">
        <v>11</v>
      </c>
      <c r="P39" s="25">
        <v>9</v>
      </c>
      <c r="Q39" s="20">
        <v>8</v>
      </c>
      <c r="R39" s="25">
        <v>3</v>
      </c>
      <c r="S39" s="20">
        <v>10</v>
      </c>
      <c r="T39" s="25" t="s">
        <v>44</v>
      </c>
      <c r="U39" s="19" t="s">
        <v>44</v>
      </c>
      <c r="V39" s="22">
        <v>-2</v>
      </c>
      <c r="W39" s="19" t="s">
        <v>44</v>
      </c>
      <c r="X39" s="20" t="s">
        <v>33</v>
      </c>
    </row>
    <row r="40" spans="8:28" x14ac:dyDescent="0.25">
      <c r="H40" t="s">
        <v>9</v>
      </c>
      <c r="I40">
        <v>13</v>
      </c>
      <c r="K40" s="14">
        <v>13</v>
      </c>
      <c r="L40" s="14" t="s">
        <v>6</v>
      </c>
      <c r="M40" s="18">
        <v>7.5</v>
      </c>
      <c r="N40" s="24">
        <v>4</v>
      </c>
      <c r="O40" s="14">
        <v>13</v>
      </c>
      <c r="P40" s="25">
        <v>3</v>
      </c>
      <c r="Q40" s="20">
        <v>14</v>
      </c>
      <c r="R40" s="25">
        <v>5</v>
      </c>
      <c r="S40" s="20">
        <v>8</v>
      </c>
      <c r="T40" s="25">
        <v>3</v>
      </c>
      <c r="U40" s="20">
        <v>6</v>
      </c>
      <c r="V40" s="22">
        <v>-1</v>
      </c>
      <c r="W40" s="19" t="s">
        <v>44</v>
      </c>
      <c r="X40" s="20" t="s">
        <v>33</v>
      </c>
    </row>
    <row r="41" spans="8:28" x14ac:dyDescent="0.25">
      <c r="H41" t="s">
        <v>47</v>
      </c>
      <c r="I41">
        <v>14</v>
      </c>
      <c r="K41" s="14">
        <v>14</v>
      </c>
      <c r="L41" s="14" t="s">
        <v>43</v>
      </c>
      <c r="M41" s="18">
        <v>7.1151247353788536</v>
      </c>
      <c r="N41" s="24">
        <v>9</v>
      </c>
      <c r="O41" s="14">
        <v>8</v>
      </c>
      <c r="P41" s="25" t="s">
        <v>44</v>
      </c>
      <c r="Q41" s="20" t="s">
        <v>44</v>
      </c>
      <c r="R41" s="25" t="s">
        <v>44</v>
      </c>
      <c r="S41" s="19" t="s">
        <v>44</v>
      </c>
      <c r="T41" s="25" t="s">
        <v>44</v>
      </c>
      <c r="U41" s="19" t="s">
        <v>44</v>
      </c>
      <c r="V41" s="23" t="s">
        <v>44</v>
      </c>
      <c r="W41" s="19" t="s">
        <v>44</v>
      </c>
      <c r="X41" s="20" t="s">
        <v>32</v>
      </c>
    </row>
    <row r="42" spans="8:28" x14ac:dyDescent="0.25">
      <c r="H42" t="s">
        <v>22</v>
      </c>
      <c r="I42">
        <v>15</v>
      </c>
      <c r="K42" s="14">
        <v>15</v>
      </c>
      <c r="L42" s="14" t="s">
        <v>47</v>
      </c>
      <c r="M42" s="18">
        <v>5.5113519212621505</v>
      </c>
      <c r="N42" s="24">
        <v>5</v>
      </c>
      <c r="O42" s="14">
        <v>12</v>
      </c>
      <c r="P42" s="25">
        <v>4</v>
      </c>
      <c r="Q42" s="20">
        <v>13</v>
      </c>
      <c r="R42" s="25" t="s">
        <v>44</v>
      </c>
      <c r="S42" s="19" t="s">
        <v>44</v>
      </c>
      <c r="T42" s="25" t="s">
        <v>44</v>
      </c>
      <c r="U42" s="19" t="s">
        <v>44</v>
      </c>
      <c r="V42" s="22">
        <v>-1</v>
      </c>
      <c r="W42" s="19" t="s">
        <v>44</v>
      </c>
      <c r="X42" s="20" t="s">
        <v>33</v>
      </c>
      <c r="Z42" t="s">
        <v>34</v>
      </c>
      <c r="AA42" t="s">
        <v>31</v>
      </c>
    </row>
    <row r="43" spans="8:28" x14ac:dyDescent="0.25">
      <c r="H43" t="s">
        <v>7</v>
      </c>
      <c r="I43">
        <v>16</v>
      </c>
      <c r="K43" s="14">
        <v>16</v>
      </c>
      <c r="L43" s="14" t="s">
        <v>45</v>
      </c>
      <c r="M43" s="18">
        <v>2.3717082451262845</v>
      </c>
      <c r="N43" s="24">
        <v>3</v>
      </c>
      <c r="O43" s="14">
        <v>14</v>
      </c>
      <c r="P43" s="25" t="s">
        <v>44</v>
      </c>
      <c r="Q43" s="20" t="s">
        <v>44</v>
      </c>
      <c r="R43" s="25" t="s">
        <v>44</v>
      </c>
      <c r="S43" s="19" t="s">
        <v>44</v>
      </c>
      <c r="T43" s="25" t="s">
        <v>44</v>
      </c>
      <c r="U43" s="19" t="s">
        <v>44</v>
      </c>
      <c r="V43" s="23" t="s">
        <v>44</v>
      </c>
      <c r="W43" s="19" t="s">
        <v>44</v>
      </c>
      <c r="X43" s="20" t="s">
        <v>31</v>
      </c>
    </row>
    <row r="44" spans="8:28" x14ac:dyDescent="0.25">
      <c r="K44" s="14">
        <v>17</v>
      </c>
      <c r="L44" s="14" t="s">
        <v>22</v>
      </c>
      <c r="M44" s="18">
        <v>1.8371173070873836</v>
      </c>
      <c r="N44" s="24">
        <v>1</v>
      </c>
      <c r="O44" s="14">
        <v>16</v>
      </c>
      <c r="P44" s="25">
        <v>2</v>
      </c>
      <c r="Q44" s="20">
        <v>15</v>
      </c>
      <c r="R44" s="25" t="s">
        <v>44</v>
      </c>
      <c r="S44" s="19" t="s">
        <v>44</v>
      </c>
      <c r="T44" s="25" t="s">
        <v>44</v>
      </c>
      <c r="U44" s="19" t="s">
        <v>44</v>
      </c>
      <c r="V44" s="22">
        <v>-2</v>
      </c>
      <c r="W44" s="19" t="s">
        <v>44</v>
      </c>
      <c r="X44" s="20" t="s">
        <v>31</v>
      </c>
      <c r="Z44" t="s">
        <v>7</v>
      </c>
      <c r="AA44" t="s">
        <v>32</v>
      </c>
    </row>
    <row r="45" spans="8:28" x14ac:dyDescent="0.25">
      <c r="K45" s="14">
        <v>18</v>
      </c>
      <c r="L45" s="14" t="s">
        <v>7</v>
      </c>
      <c r="M45" s="18">
        <v>1.6201851746019651</v>
      </c>
      <c r="N45" s="25" t="s">
        <v>44</v>
      </c>
      <c r="O45" s="19" t="s">
        <v>44</v>
      </c>
      <c r="P45" s="25">
        <v>1</v>
      </c>
      <c r="Q45" s="20">
        <v>16</v>
      </c>
      <c r="R45" s="25">
        <v>1</v>
      </c>
      <c r="S45" s="20">
        <v>12</v>
      </c>
      <c r="T45" s="25">
        <v>1</v>
      </c>
      <c r="U45" s="20">
        <v>8</v>
      </c>
      <c r="V45" s="22">
        <v>-2</v>
      </c>
      <c r="W45" s="19" t="s">
        <v>44</v>
      </c>
      <c r="X45" s="20" t="s">
        <v>32</v>
      </c>
      <c r="Z45" t="s">
        <v>12</v>
      </c>
    </row>
    <row r="46" spans="8:28" x14ac:dyDescent="0.25">
      <c r="L46" t="s">
        <v>73</v>
      </c>
      <c r="X46" s="34" t="s">
        <v>25</v>
      </c>
    </row>
    <row r="47" spans="8:28" x14ac:dyDescent="0.25">
      <c r="L47" t="s">
        <v>74</v>
      </c>
      <c r="X47" s="34" t="s">
        <v>25</v>
      </c>
      <c r="Z47" t="s">
        <v>13</v>
      </c>
      <c r="AA47" t="s">
        <v>25</v>
      </c>
      <c r="AB47" t="s">
        <v>27</v>
      </c>
    </row>
    <row r="48" spans="8:28" x14ac:dyDescent="0.25">
      <c r="L48" t="s">
        <v>75</v>
      </c>
      <c r="X48" s="34" t="s">
        <v>25</v>
      </c>
    </row>
    <row r="50" spans="7:20" ht="45" x14ac:dyDescent="0.25">
      <c r="H50" s="30" t="s">
        <v>65</v>
      </c>
      <c r="I50" s="26" t="s">
        <v>67</v>
      </c>
      <c r="J50" s="27" t="s">
        <v>68</v>
      </c>
      <c r="K50" s="28" t="s">
        <v>69</v>
      </c>
      <c r="L50" s="31" t="s">
        <v>70</v>
      </c>
      <c r="M50" s="11"/>
    </row>
    <row r="51" spans="7:20" x14ac:dyDescent="0.25">
      <c r="G51">
        <v>1</v>
      </c>
      <c r="H51" s="32" t="s">
        <v>5</v>
      </c>
      <c r="I51" s="26"/>
      <c r="J51" s="27"/>
      <c r="K51" s="28"/>
      <c r="L51" s="29" t="s">
        <v>66</v>
      </c>
      <c r="M51" s="11"/>
      <c r="Q51" s="1" t="s">
        <v>76</v>
      </c>
      <c r="R51" s="35" t="s">
        <v>38</v>
      </c>
    </row>
    <row r="52" spans="7:20" x14ac:dyDescent="0.25">
      <c r="G52">
        <v>2</v>
      </c>
      <c r="H52" s="32" t="s">
        <v>48</v>
      </c>
      <c r="I52" s="26" t="s">
        <v>66</v>
      </c>
      <c r="J52" s="27"/>
      <c r="K52" s="28"/>
      <c r="L52" s="29"/>
      <c r="M52" s="11"/>
      <c r="Q52" t="s">
        <v>73</v>
      </c>
      <c r="R52" s="11">
        <v>0</v>
      </c>
      <c r="T52" t="s">
        <v>88</v>
      </c>
    </row>
    <row r="53" spans="7:20" x14ac:dyDescent="0.25">
      <c r="G53">
        <v>3</v>
      </c>
      <c r="H53" s="32" t="s">
        <v>13</v>
      </c>
      <c r="I53" s="26"/>
      <c r="J53" s="27" t="s">
        <v>66</v>
      </c>
      <c r="K53" s="28"/>
      <c r="L53" s="29"/>
      <c r="M53" s="11"/>
      <c r="Q53" t="s">
        <v>87</v>
      </c>
      <c r="R53" s="11">
        <v>0</v>
      </c>
      <c r="T53" t="s">
        <v>88</v>
      </c>
    </row>
    <row r="54" spans="7:20" x14ac:dyDescent="0.25">
      <c r="G54">
        <v>4</v>
      </c>
      <c r="H54" s="32" t="s">
        <v>3</v>
      </c>
      <c r="I54" s="26"/>
      <c r="J54" s="27"/>
      <c r="K54" s="28" t="s">
        <v>66</v>
      </c>
      <c r="L54" s="29"/>
      <c r="M54" s="11"/>
      <c r="Q54" t="s">
        <v>75</v>
      </c>
      <c r="R54" s="11">
        <v>0</v>
      </c>
      <c r="T54" t="s">
        <v>88</v>
      </c>
    </row>
    <row r="55" spans="7:20" x14ac:dyDescent="0.25">
      <c r="G55">
        <v>5</v>
      </c>
      <c r="H55" s="32" t="s">
        <v>4</v>
      </c>
      <c r="I55" s="26"/>
      <c r="J55" s="27" t="s">
        <v>66</v>
      </c>
      <c r="K55" s="28"/>
      <c r="L55" s="29"/>
      <c r="M55" s="11"/>
      <c r="Q55" s="14" t="s">
        <v>21</v>
      </c>
      <c r="R55" s="11">
        <v>0</v>
      </c>
      <c r="T55" t="s">
        <v>88</v>
      </c>
    </row>
    <row r="56" spans="7:20" x14ac:dyDescent="0.25">
      <c r="G56">
        <v>6</v>
      </c>
      <c r="H56" s="32" t="s">
        <v>49</v>
      </c>
      <c r="I56" s="26" t="s">
        <v>66</v>
      </c>
      <c r="J56" s="27"/>
      <c r="K56" s="28"/>
      <c r="L56" s="29"/>
      <c r="M56" s="11"/>
      <c r="Q56" s="14" t="s">
        <v>13</v>
      </c>
      <c r="R56" s="11" t="s">
        <v>27</v>
      </c>
      <c r="S56" t="s">
        <v>88</v>
      </c>
    </row>
    <row r="57" spans="7:20" x14ac:dyDescent="0.25">
      <c r="G57">
        <v>7</v>
      </c>
      <c r="H57" s="32" t="s">
        <v>2</v>
      </c>
      <c r="I57" s="26"/>
      <c r="J57" s="27"/>
      <c r="K57" s="28"/>
      <c r="L57" s="29" t="s">
        <v>66</v>
      </c>
      <c r="M57" s="11"/>
      <c r="Q57" s="14" t="s">
        <v>8</v>
      </c>
      <c r="R57" s="11" t="s">
        <v>26</v>
      </c>
      <c r="T57" t="s">
        <v>88</v>
      </c>
    </row>
    <row r="58" spans="7:20" x14ac:dyDescent="0.25">
      <c r="G58">
        <v>8</v>
      </c>
      <c r="H58" s="32" t="s">
        <v>10</v>
      </c>
      <c r="I58" s="26" t="s">
        <v>66</v>
      </c>
      <c r="J58" s="27"/>
      <c r="K58" s="28"/>
      <c r="L58" s="29"/>
      <c r="M58" s="11"/>
      <c r="R58" s="11"/>
    </row>
    <row r="59" spans="7:20" x14ac:dyDescent="0.25">
      <c r="G59">
        <v>9</v>
      </c>
      <c r="H59" s="32" t="s">
        <v>21</v>
      </c>
      <c r="I59" s="26"/>
      <c r="J59" s="27"/>
      <c r="K59" s="28"/>
      <c r="L59" s="29" t="s">
        <v>66</v>
      </c>
      <c r="M59" s="11"/>
      <c r="Q59" s="1" t="s">
        <v>77</v>
      </c>
      <c r="R59" s="11"/>
    </row>
    <row r="60" spans="7:20" x14ac:dyDescent="0.25">
      <c r="G60">
        <v>10</v>
      </c>
      <c r="H60" s="32" t="s">
        <v>6</v>
      </c>
      <c r="I60" s="26"/>
      <c r="J60" s="27"/>
      <c r="K60" s="28" t="s">
        <v>66</v>
      </c>
      <c r="L60" s="29"/>
      <c r="M60" s="11"/>
      <c r="Q60" s="14" t="s">
        <v>47</v>
      </c>
      <c r="R60" s="11">
        <v>0</v>
      </c>
      <c r="T60" t="s">
        <v>88</v>
      </c>
    </row>
    <row r="61" spans="7:20" x14ac:dyDescent="0.25">
      <c r="G61">
        <v>11</v>
      </c>
      <c r="H61" s="32" t="s">
        <v>9</v>
      </c>
      <c r="I61" s="26"/>
      <c r="J61" s="27" t="s">
        <v>66</v>
      </c>
      <c r="K61" s="28"/>
      <c r="L61" s="29"/>
      <c r="M61" s="11"/>
      <c r="Q61" s="14" t="s">
        <v>10</v>
      </c>
      <c r="R61" s="11">
        <v>0</v>
      </c>
      <c r="T61" t="s">
        <v>88</v>
      </c>
    </row>
    <row r="62" spans="7:20" x14ac:dyDescent="0.25">
      <c r="G62">
        <v>12</v>
      </c>
      <c r="H62" s="32" t="s">
        <v>47</v>
      </c>
      <c r="I62" s="26" t="s">
        <v>66</v>
      </c>
      <c r="J62" s="27"/>
      <c r="K62" s="28"/>
      <c r="L62" s="29"/>
      <c r="M62" s="11"/>
      <c r="Q62" s="14" t="s">
        <v>6</v>
      </c>
      <c r="R62" s="11">
        <v>0</v>
      </c>
      <c r="T62" t="s">
        <v>88</v>
      </c>
    </row>
    <row r="63" spans="7:20" x14ac:dyDescent="0.25">
      <c r="G63">
        <v>13</v>
      </c>
      <c r="H63" s="32" t="s">
        <v>22</v>
      </c>
      <c r="I63" s="26"/>
      <c r="J63" s="27"/>
      <c r="K63" s="28" t="s">
        <v>66</v>
      </c>
      <c r="L63" s="29"/>
      <c r="M63" s="11"/>
      <c r="Q63" s="14" t="s">
        <v>9</v>
      </c>
      <c r="R63" s="11">
        <v>0</v>
      </c>
      <c r="T63" t="s">
        <v>88</v>
      </c>
    </row>
    <row r="64" spans="7:20" x14ac:dyDescent="0.25">
      <c r="G64">
        <v>14</v>
      </c>
      <c r="H64" s="32" t="s">
        <v>7</v>
      </c>
      <c r="I64" s="26" t="s">
        <v>50</v>
      </c>
      <c r="J64" s="27"/>
      <c r="K64" s="28" t="s">
        <v>66</v>
      </c>
      <c r="L64" s="29"/>
      <c r="M64" s="11"/>
      <c r="Q64" s="14" t="s">
        <v>4</v>
      </c>
      <c r="R64" s="11" t="s">
        <v>86</v>
      </c>
      <c r="T64" t="s">
        <v>88</v>
      </c>
    </row>
    <row r="65" spans="7:20" x14ac:dyDescent="0.25">
      <c r="G65">
        <v>15</v>
      </c>
      <c r="H65" s="32" t="s">
        <v>45</v>
      </c>
      <c r="I65" s="26"/>
      <c r="J65" s="27"/>
      <c r="K65" s="28"/>
      <c r="L65" s="29" t="s">
        <v>66</v>
      </c>
      <c r="M65" s="11"/>
      <c r="Q65" s="14" t="s">
        <v>11</v>
      </c>
      <c r="R65" s="11">
        <v>0</v>
      </c>
      <c r="T65" t="s">
        <v>88</v>
      </c>
    </row>
    <row r="66" spans="7:20" x14ac:dyDescent="0.25">
      <c r="G66">
        <v>16</v>
      </c>
      <c r="H66" s="33" t="s">
        <v>43</v>
      </c>
      <c r="I66" s="26"/>
      <c r="J66" s="27" t="s">
        <v>66</v>
      </c>
      <c r="K66" s="28"/>
      <c r="L66" s="29"/>
      <c r="M66" s="11"/>
      <c r="R66" s="11"/>
    </row>
    <row r="67" spans="7:20" x14ac:dyDescent="0.25">
      <c r="G67">
        <v>17</v>
      </c>
      <c r="H67" s="33" t="s">
        <v>8</v>
      </c>
      <c r="I67" s="26"/>
      <c r="J67" s="27" t="s">
        <v>66</v>
      </c>
      <c r="K67" s="28" t="s">
        <v>66</v>
      </c>
      <c r="L67" s="29"/>
      <c r="Q67" s="1" t="s">
        <v>79</v>
      </c>
      <c r="R67" s="11"/>
    </row>
    <row r="68" spans="7:20" x14ac:dyDescent="0.25">
      <c r="Q68" s="14" t="s">
        <v>7</v>
      </c>
      <c r="R68" s="11">
        <v>0</v>
      </c>
      <c r="T68" t="s">
        <v>88</v>
      </c>
    </row>
    <row r="69" spans="7:20" x14ac:dyDescent="0.25">
      <c r="H69" t="s">
        <v>71</v>
      </c>
      <c r="I69" t="s">
        <v>72</v>
      </c>
      <c r="Q69" s="14" t="s">
        <v>2</v>
      </c>
      <c r="R69" s="11" t="s">
        <v>26</v>
      </c>
      <c r="T69" t="s">
        <v>88</v>
      </c>
    </row>
    <row r="70" spans="7:20" x14ac:dyDescent="0.25">
      <c r="Q70" s="14" t="s">
        <v>49</v>
      </c>
      <c r="R70" s="11" t="s">
        <v>84</v>
      </c>
      <c r="T70" t="s">
        <v>88</v>
      </c>
    </row>
    <row r="71" spans="7:20" x14ac:dyDescent="0.25">
      <c r="Q71" s="14" t="s">
        <v>48</v>
      </c>
      <c r="R71" s="34" t="s">
        <v>83</v>
      </c>
      <c r="T71" t="s">
        <v>88</v>
      </c>
    </row>
    <row r="72" spans="7:20" x14ac:dyDescent="0.25">
      <c r="H72" t="s">
        <v>81</v>
      </c>
      <c r="Q72" s="14" t="s">
        <v>5</v>
      </c>
      <c r="R72" s="34" t="s">
        <v>85</v>
      </c>
      <c r="T72" t="s">
        <v>88</v>
      </c>
    </row>
    <row r="73" spans="7:20" x14ac:dyDescent="0.25">
      <c r="Q73" s="14" t="s">
        <v>3</v>
      </c>
      <c r="R73" s="34" t="s">
        <v>59</v>
      </c>
      <c r="T73" t="s">
        <v>88</v>
      </c>
    </row>
    <row r="74" spans="7:20" ht="45" x14ac:dyDescent="0.25">
      <c r="H74" s="30" t="s">
        <v>65</v>
      </c>
      <c r="I74" s="37" t="s">
        <v>67</v>
      </c>
      <c r="J74" s="38" t="s">
        <v>68</v>
      </c>
      <c r="K74" s="39" t="s">
        <v>69</v>
      </c>
      <c r="L74" s="31" t="s">
        <v>70</v>
      </c>
      <c r="R74" s="11"/>
    </row>
    <row r="75" spans="7:20" x14ac:dyDescent="0.25">
      <c r="G75">
        <v>1</v>
      </c>
      <c r="H75" s="32" t="s">
        <v>5</v>
      </c>
      <c r="I75" s="26"/>
      <c r="J75" s="27" t="s">
        <v>66</v>
      </c>
      <c r="K75" s="28"/>
      <c r="L75" s="29"/>
      <c r="Q75" s="1" t="s">
        <v>80</v>
      </c>
      <c r="R75" s="11"/>
    </row>
    <row r="76" spans="7:20" x14ac:dyDescent="0.25">
      <c r="G76">
        <v>2</v>
      </c>
      <c r="H76" s="32" t="s">
        <v>48</v>
      </c>
      <c r="I76" s="26" t="s">
        <v>66</v>
      </c>
      <c r="J76" s="27" t="s">
        <v>66</v>
      </c>
      <c r="K76" s="28"/>
      <c r="L76" s="29"/>
      <c r="Q76" s="14" t="s">
        <v>45</v>
      </c>
      <c r="R76" s="11">
        <v>0</v>
      </c>
      <c r="T76" t="s">
        <v>88</v>
      </c>
    </row>
    <row r="77" spans="7:20" x14ac:dyDescent="0.25">
      <c r="G77">
        <v>3</v>
      </c>
      <c r="H77" s="32" t="s">
        <v>13</v>
      </c>
      <c r="I77" s="26"/>
      <c r="J77" s="27" t="s">
        <v>66</v>
      </c>
      <c r="K77" s="28"/>
      <c r="L77" s="29"/>
      <c r="Q77" s="14" t="s">
        <v>43</v>
      </c>
      <c r="R77" s="11">
        <v>0</v>
      </c>
      <c r="T77" t="s">
        <v>88</v>
      </c>
    </row>
    <row r="78" spans="7:20" x14ac:dyDescent="0.25">
      <c r="G78">
        <v>4</v>
      </c>
      <c r="H78" s="32" t="s">
        <v>3</v>
      </c>
      <c r="I78" s="26"/>
      <c r="J78" s="27"/>
      <c r="K78" s="28" t="s">
        <v>66</v>
      </c>
      <c r="L78" s="29"/>
    </row>
    <row r="79" spans="7:20" x14ac:dyDescent="0.25">
      <c r="G79">
        <v>5</v>
      </c>
      <c r="H79" s="32" t="s">
        <v>4</v>
      </c>
      <c r="I79" s="26"/>
      <c r="J79" s="27"/>
      <c r="K79" s="28"/>
      <c r="L79" s="29" t="s">
        <v>66</v>
      </c>
    </row>
    <row r="80" spans="7:20" x14ac:dyDescent="0.25">
      <c r="G80">
        <v>6</v>
      </c>
      <c r="H80" s="32" t="s">
        <v>49</v>
      </c>
      <c r="I80" s="26"/>
      <c r="J80" s="27" t="s">
        <v>66</v>
      </c>
      <c r="K80" s="28"/>
      <c r="L80" s="29"/>
    </row>
    <row r="81" spans="6:19" x14ac:dyDescent="0.25">
      <c r="G81">
        <v>7</v>
      </c>
      <c r="H81" s="32" t="s">
        <v>2</v>
      </c>
      <c r="I81" s="26"/>
      <c r="J81" s="27"/>
      <c r="K81" s="28"/>
      <c r="L81" s="29" t="s">
        <v>66</v>
      </c>
      <c r="Q81" s="14" t="s">
        <v>22</v>
      </c>
      <c r="R81" s="11">
        <v>0</v>
      </c>
      <c r="S81" t="s">
        <v>78</v>
      </c>
    </row>
    <row r="82" spans="6:19" x14ac:dyDescent="0.25">
      <c r="G82">
        <v>8</v>
      </c>
      <c r="H82" s="32" t="s">
        <v>10</v>
      </c>
      <c r="I82" s="26" t="s">
        <v>66</v>
      </c>
      <c r="J82" s="27"/>
      <c r="K82" s="28"/>
      <c r="L82" s="29"/>
    </row>
    <row r="83" spans="6:19" x14ac:dyDescent="0.25">
      <c r="G83">
        <v>9</v>
      </c>
      <c r="H83" s="32" t="s">
        <v>21</v>
      </c>
      <c r="I83" s="26"/>
      <c r="J83" s="27"/>
      <c r="K83" s="28"/>
      <c r="L83" s="29" t="s">
        <v>66</v>
      </c>
    </row>
    <row r="84" spans="6:19" x14ac:dyDescent="0.25">
      <c r="G84">
        <v>10</v>
      </c>
      <c r="H84" s="32" t="s">
        <v>6</v>
      </c>
      <c r="I84" s="26"/>
      <c r="J84" s="27" t="s">
        <v>66</v>
      </c>
      <c r="K84" s="28"/>
      <c r="L84" s="29"/>
    </row>
    <row r="85" spans="6:19" x14ac:dyDescent="0.25">
      <c r="G85">
        <v>11</v>
      </c>
      <c r="H85" s="32" t="s">
        <v>9</v>
      </c>
      <c r="I85" s="26"/>
      <c r="J85" s="27" t="s">
        <v>66</v>
      </c>
      <c r="K85" s="28" t="s">
        <v>66</v>
      </c>
      <c r="L85" s="29"/>
    </row>
    <row r="86" spans="6:19" x14ac:dyDescent="0.25">
      <c r="G86">
        <v>12</v>
      </c>
      <c r="H86" s="32" t="s">
        <v>47</v>
      </c>
      <c r="I86" s="26"/>
      <c r="J86" s="27"/>
      <c r="K86" s="28"/>
      <c r="L86" s="29" t="s">
        <v>66</v>
      </c>
    </row>
    <row r="87" spans="6:19" x14ac:dyDescent="0.25">
      <c r="F87" s="32" t="s">
        <v>22</v>
      </c>
      <c r="G87">
        <v>13</v>
      </c>
      <c r="H87" s="32" t="s">
        <v>7</v>
      </c>
      <c r="I87" s="26" t="s">
        <v>66</v>
      </c>
      <c r="J87" s="27"/>
      <c r="K87" s="28" t="s">
        <v>66</v>
      </c>
      <c r="L87" s="29"/>
    </row>
    <row r="88" spans="6:19" x14ac:dyDescent="0.25">
      <c r="G88">
        <v>14</v>
      </c>
      <c r="H88" s="32" t="s">
        <v>45</v>
      </c>
      <c r="I88" s="26" t="s">
        <v>66</v>
      </c>
      <c r="J88" s="27"/>
      <c r="K88" s="28"/>
      <c r="L88" s="29"/>
    </row>
    <row r="89" spans="6:19" x14ac:dyDescent="0.25">
      <c r="G89">
        <v>15</v>
      </c>
      <c r="H89" s="33" t="s">
        <v>43</v>
      </c>
      <c r="I89" s="26"/>
      <c r="J89" s="27"/>
      <c r="K89" s="28"/>
      <c r="L89" s="29" t="s">
        <v>66</v>
      </c>
    </row>
    <row r="90" spans="6:19" x14ac:dyDescent="0.25">
      <c r="G90">
        <v>16</v>
      </c>
      <c r="H90" s="33" t="s">
        <v>8</v>
      </c>
      <c r="I90" s="26"/>
      <c r="J90" s="27"/>
      <c r="K90" s="28"/>
      <c r="L90" s="29" t="s">
        <v>66</v>
      </c>
    </row>
    <row r="91" spans="6:19" x14ac:dyDescent="0.25">
      <c r="G91">
        <v>17</v>
      </c>
      <c r="H91" s="32" t="s">
        <v>73</v>
      </c>
      <c r="I91" s="26"/>
      <c r="J91" s="27"/>
      <c r="K91" s="28" t="s">
        <v>66</v>
      </c>
      <c r="L91" s="29"/>
    </row>
    <row r="92" spans="6:19" x14ac:dyDescent="0.25">
      <c r="G92">
        <v>18</v>
      </c>
      <c r="H92" s="32" t="s">
        <v>87</v>
      </c>
      <c r="I92" s="26"/>
      <c r="J92" s="27"/>
      <c r="K92" s="28" t="s">
        <v>66</v>
      </c>
      <c r="L92" s="29"/>
    </row>
    <row r="93" spans="6:19" x14ac:dyDescent="0.25">
      <c r="G93">
        <v>19</v>
      </c>
      <c r="H93" s="32" t="s">
        <v>75</v>
      </c>
      <c r="I93" s="26"/>
      <c r="J93" s="27"/>
      <c r="K93" s="28"/>
      <c r="L93" s="29" t="s">
        <v>66</v>
      </c>
    </row>
    <row r="94" spans="6:19" x14ac:dyDescent="0.25">
      <c r="G94">
        <v>20</v>
      </c>
      <c r="H94" s="32" t="s">
        <v>11</v>
      </c>
      <c r="I94" s="26"/>
      <c r="J94" s="27" t="s">
        <v>66</v>
      </c>
      <c r="K94" s="28"/>
      <c r="L94" s="29"/>
    </row>
    <row r="96" spans="6:19" x14ac:dyDescent="0.25">
      <c r="H96" s="36" t="s">
        <v>82</v>
      </c>
    </row>
  </sheetData>
  <sortState ref="AD3:AF26">
    <sortCondition descending="1" ref="AF3"/>
  </sortState>
  <mergeCells count="5">
    <mergeCell ref="N26:O26"/>
    <mergeCell ref="P26:Q26"/>
    <mergeCell ref="R26:S26"/>
    <mergeCell ref="T26:U26"/>
    <mergeCell ref="R1:T1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Mugi</dc:creator>
  <cp:lastModifiedBy>Mugi</cp:lastModifiedBy>
  <dcterms:created xsi:type="dcterms:W3CDTF">2023-02-11T13:54:33Z</dcterms:created>
  <dcterms:modified xsi:type="dcterms:W3CDTF">2026-03-04T15:28:13Z</dcterms:modified>
</cp:coreProperties>
</file>